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ily_Entry" sheetId="2" r:id="rId5"/>
    <sheet state="visible" name="Ambient Room" sheetId="3" r:id="rId6"/>
    <sheet state="visible" name="Chiller Room" sheetId="4" r:id="rId7"/>
    <sheet state="visible" name="Freezer Room" sheetId="5" r:id="rId8"/>
    <sheet state="visible" name="Blast Room" sheetId="6" r:id="rId9"/>
    <sheet state="visible" name="FNV Room" sheetId="7" r:id="rId10"/>
    <sheet state="visible" name="Corridor &amp; Warm Room" sheetId="8" r:id="rId11"/>
    <sheet state="visible" name="Ante Room" sheetId="9" r:id="rId12"/>
    <sheet state="visible" name="Common_Works" sheetId="10" r:id="rId13"/>
    <sheet state="visible" name="Room_Handover" sheetId="11" r:id="rId14"/>
    <sheet state="visible" name="Milestones" sheetId="12" r:id="rId15"/>
    <sheet state="hidden" name="Lists" sheetId="13" r:id="rId16"/>
  </sheets>
  <definedNames/>
  <calcPr/>
  <extLst>
    <ext uri="GoogleSheetsCustomDataVersion2">
      <go:sheetsCustomData xmlns:go="http://customooxmlschemas.google.com/" r:id="rId17" roundtripDataChecksum="dgmcVatQe4B1OBl+Vjg3OaNsOWgRb6Bbumg6RuDgDVY="/>
    </ext>
  </extLst>
</workbook>
</file>

<file path=xl/sharedStrings.xml><?xml version="1.0" encoding="utf-8"?>
<sst xmlns="http://schemas.openxmlformats.org/spreadsheetml/2006/main" count="645" uniqueCount="123">
  <si>
    <t>COLD STORAGE PROJECT - DPR DASHBOARD</t>
  </si>
  <si>
    <t>Report Date:</t>
  </si>
  <si>
    <t>Overall Project %</t>
  </si>
  <si>
    <t>Total Activities</t>
  </si>
  <si>
    <t>Rooms Ready for Handover</t>
  </si>
  <si>
    <t>Total Rooms Tracked</t>
  </si>
  <si>
    <t>ROOM-WISE HANDOVER STATUS</t>
  </si>
  <si>
    <t>Room</t>
  </si>
  <si>
    <t>PUF %</t>
  </si>
  <si>
    <t>Door %</t>
  </si>
  <si>
    <t>Floor %</t>
  </si>
  <si>
    <t>Overall %</t>
  </si>
  <si>
    <t>Planned Handover</t>
  </si>
  <si>
    <t>Status</t>
  </si>
  <si>
    <t>PLANT-WIDE WORK (Refrigeration / Electrical)</t>
  </si>
  <si>
    <t>Category</t>
  </si>
  <si>
    <t>% Complete</t>
  </si>
  <si>
    <t>Refrigeration</t>
  </si>
  <si>
    <t>Electrical</t>
  </si>
  <si>
    <t>DAILY PROGRESS ENTRY (fill this every day - one row per activity)</t>
  </si>
  <si>
    <t>Instructions: Add a new row for every activity completed today. Select Room, Category &amp; Item from the dropdown; enter today's quantity only (not cumulative). Every room sheet updates automatically.</t>
  </si>
  <si>
    <t>Date</t>
  </si>
  <si>
    <t>Item / Activity</t>
  </si>
  <si>
    <t>UOM</t>
  </si>
  <si>
    <t>Qty Done Today</t>
  </si>
  <si>
    <t>Labour / Team</t>
  </si>
  <si>
    <t>Remarks</t>
  </si>
  <si>
    <t>Ambient</t>
  </si>
  <si>
    <t>PUF Panel</t>
  </si>
  <si>
    <t>Front Wall</t>
  </si>
  <si>
    <t>Sq.m</t>
  </si>
  <si>
    <t>Team A</t>
  </si>
  <si>
    <t>Initial fixing started</t>
  </si>
  <si>
    <t>Chiller</t>
  </si>
  <si>
    <t>201 sq.m done till date, 12 pending</t>
  </si>
  <si>
    <t>Back Wall</t>
  </si>
  <si>
    <t>sq.m</t>
  </si>
  <si>
    <t>farr</t>
  </si>
  <si>
    <t>Freezer</t>
  </si>
  <si>
    <t>Refrigeration Piping</t>
  </si>
  <si>
    <t>Rehman</t>
  </si>
  <si>
    <t>AMBIENT ROOM - SCOPE &amp; PROGRESS TRACKER</t>
  </si>
  <si>
    <t>Room Overall % Complete:</t>
  </si>
  <si>
    <t>Planned Handover Date:</t>
  </si>
  <si>
    <t>Status:</t>
  </si>
  <si>
    <t>S.No</t>
  </si>
  <si>
    <t>Target Qty</t>
  </si>
  <si>
    <t>Planned Start</t>
  </si>
  <si>
    <t>Planned Finish</t>
  </si>
  <si>
    <t>Cumulative Qty Done</t>
  </si>
  <si>
    <t>Balance Qty</t>
  </si>
  <si>
    <t>Last Updated</t>
  </si>
  <si>
    <t>Left Side Wall</t>
  </si>
  <si>
    <t>Right Side Wall</t>
  </si>
  <si>
    <t>Top Ceiling</t>
  </si>
  <si>
    <t>PUF Slab (Floor)</t>
  </si>
  <si>
    <t>Door Cutting</t>
  </si>
  <si>
    <t>Nos</t>
  </si>
  <si>
    <t>Silicon Filling - Inside</t>
  </si>
  <si>
    <t>Rmt</t>
  </si>
  <si>
    <t>Silicon Filling - Outside</t>
  </si>
  <si>
    <t>Door Work</t>
  </si>
  <si>
    <t>Door Installation</t>
  </si>
  <si>
    <t>Falcon Sensor Installation</t>
  </si>
  <si>
    <t>Air Curtain Installation</t>
  </si>
  <si>
    <t>PVC Curtain Installation</t>
  </si>
  <si>
    <t>Door Alarm &amp; Hooter Installation</t>
  </si>
  <si>
    <t>Floor &amp; Racking</t>
  </si>
  <si>
    <t>Floor &amp; Racking Work</t>
  </si>
  <si>
    <t>CHILLER ROOM - SCOPE &amp; PROGRESS TRACKER</t>
  </si>
  <si>
    <t>FREEZER ROOM - SCOPE &amp; PROGRESS TRACKER</t>
  </si>
  <si>
    <t>BLAST ROOM - SCOPE &amp; PROGRESS TRACKER</t>
  </si>
  <si>
    <t>FNV ROOM - SCOPE &amp; PROGRESS TRACKER</t>
  </si>
  <si>
    <t>CORRIDOR &amp; WARM ROOM - SCOPE &amp; PROGRESS TRACKER</t>
  </si>
  <si>
    <t>ANTE ROOM - SCOPE &amp; PROGRESS TRACKER</t>
  </si>
  <si>
    <t>COMMON WORKS (REFRIGERATION &amp; ELECTRICAL) - SCOPE &amp; PROGRESS TRACKER</t>
  </si>
  <si>
    <t>ODU Hanging</t>
  </si>
  <si>
    <t>ODU MS Structure</t>
  </si>
  <si>
    <t>GI Cable</t>
  </si>
  <si>
    <t>Drain Piping</t>
  </si>
  <si>
    <t>IDU Hanging</t>
  </si>
  <si>
    <t>IDU Connection</t>
  </si>
  <si>
    <t>Control Panel Installation</t>
  </si>
  <si>
    <t>Nitrogen Holding</t>
  </si>
  <si>
    <t>Job</t>
  </si>
  <si>
    <t>Vacuum Pressure Test</t>
  </si>
  <si>
    <t>Machine Start</t>
  </si>
  <si>
    <t>Copper FRLS Cable Laying</t>
  </si>
  <si>
    <t>Final Handover to Client</t>
  </si>
  <si>
    <t>ROOM-WISE PROGRESS &amp; HANDOVER TRACKER</t>
  </si>
  <si>
    <t>PUF Panel %</t>
  </si>
  <si>
    <t>Door Work %</t>
  </si>
  <si>
    <t>Floor &amp; Racking %</t>
  </si>
  <si>
    <t>Overall Room %</t>
  </si>
  <si>
    <t>Planned Handover Date</t>
  </si>
  <si>
    <t>Actual Handover Date</t>
  </si>
  <si>
    <t>Delay (Days)</t>
  </si>
  <si>
    <t>Handover Status</t>
  </si>
  <si>
    <t>Blast</t>
  </si>
  <si>
    <t>FNV</t>
  </si>
  <si>
    <t>Corridor &amp; Warm Room</t>
  </si>
  <si>
    <t>Ante Room</t>
  </si>
  <si>
    <t>PLANT-WIDE WORK (Refrigeration / Electrical / Handover)</t>
  </si>
  <si>
    <t>KEY MILESTONE DATES</t>
  </si>
  <si>
    <t>Room / Milestone</t>
  </si>
  <si>
    <t>Committed Date - Vendor</t>
  </si>
  <si>
    <t>FKI (Freeze Date)</t>
  </si>
  <si>
    <t>Actual Date</t>
  </si>
  <si>
    <t>7th</t>
  </si>
  <si>
    <t>10th</t>
  </si>
  <si>
    <t>16th</t>
  </si>
  <si>
    <t>18th</t>
  </si>
  <si>
    <t>19th</t>
  </si>
  <si>
    <t>Refrigeration Piping Completion</t>
  </si>
  <si>
    <t>Final Handover (HO)</t>
  </si>
  <si>
    <t>Rooms</t>
  </si>
  <si>
    <t>Categories</t>
  </si>
  <si>
    <t>Items</t>
  </si>
  <si>
    <t>Not Started</t>
  </si>
  <si>
    <t>In Progress</t>
  </si>
  <si>
    <t>Completed</t>
  </si>
  <si>
    <t>Delayed</t>
  </si>
  <si>
    <t>Common / Plant-wide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</si>
</sst>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15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9.0"/>
      <color rgb="FFFFFFFF"/>
      <name val="Arial"/>
    </font>
    <font>
      <b/>
      <sz val="16.0"/>
      <color rgb="FF1F3864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i/>
      <sz val="9.0"/>
      <color rgb="FF808080"/>
      <name val="Arial"/>
    </font>
    <font>
      <color theme="1"/>
      <name val="Calibri"/>
      <scheme val="minor"/>
    </font>
    <font>
      <b/>
      <sz val="12.0"/>
      <color rgb="FF1F3864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F2F2F2"/>
        <bgColor rgb="FFF2F2F2"/>
      </patternFill>
    </fill>
    <fill>
      <patternFill patternType="solid">
        <fgColor rgb="FFEAF1FB"/>
        <bgColor rgb="FFEAF1FB"/>
      </patternFill>
    </fill>
    <fill>
      <patternFill patternType="solid">
        <fgColor rgb="FFF4ECF7"/>
        <bgColor rgb="FFF4ECF7"/>
      </patternFill>
    </fill>
    <fill>
      <patternFill patternType="solid">
        <fgColor rgb="FFFDEBD0"/>
        <bgColor rgb="FFFDEBD0"/>
      </patternFill>
    </fill>
    <fill>
      <patternFill patternType="solid">
        <fgColor rgb="FFE8F6F3"/>
        <bgColor rgb="FFE8F6F3"/>
      </patternFill>
    </fill>
    <fill>
      <patternFill patternType="solid">
        <fgColor rgb="FFFEF9E7"/>
        <bgColor rgb="FFFEF9E7"/>
      </patternFill>
    </fill>
  </fills>
  <borders count="1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7" fillId="3" fontId="5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7" fillId="4" fontId="6" numFmtId="9" xfId="0" applyAlignment="1" applyBorder="1" applyFill="1" applyFont="1" applyNumberFormat="1">
      <alignment horizontal="center" shrinkToFit="0" vertical="center" wrapText="0"/>
    </xf>
    <xf borderId="7" fillId="4" fontId="6" numFmtId="1" xfId="0" applyAlignment="1" applyBorder="1" applyFont="1" applyNumberFormat="1">
      <alignment horizontal="center" shrinkToFit="0" vertical="center" wrapText="0"/>
    </xf>
    <xf borderId="9" fillId="2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7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0"/>
    </xf>
    <xf borderId="12" fillId="0" fontId="4" numFmtId="9" xfId="0" applyAlignment="1" applyBorder="1" applyFont="1" applyNumberFormat="1">
      <alignment horizontal="center" shrinkToFit="0" vertical="center" wrapText="0"/>
    </xf>
    <xf borderId="12" fillId="0" fontId="4" numFmtId="164" xfId="0" applyAlignment="1" applyBorder="1" applyFont="1" applyNumberForma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9" fillId="3" fontId="7" numFmtId="0" xfId="0" applyAlignment="1" applyBorder="1" applyFont="1">
      <alignment horizontal="center" shrinkToFit="0" vertical="center" wrapText="1"/>
    </xf>
    <xf borderId="9" fillId="0" fontId="4" numFmtId="9" xfId="0" applyAlignment="1" applyBorder="1" applyFont="1" applyNumberForma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center" wrapText="1"/>
    </xf>
    <xf borderId="12" fillId="0" fontId="4" numFmtId="0" xfId="0" applyAlignment="1" applyBorder="1" applyFont="1">
      <alignment horizontal="center" readingOrder="0" shrinkToFit="0" vertical="center" wrapText="0"/>
    </xf>
    <xf borderId="12" fillId="0" fontId="4" numFmtId="164" xfId="0" applyAlignment="1" applyBorder="1" applyFont="1" applyNumberFormat="1">
      <alignment horizontal="center" readingOrder="0" shrinkToFit="0" vertical="center" wrapText="0"/>
    </xf>
    <xf borderId="0" fillId="0" fontId="10" numFmtId="0" xfId="0" applyFont="1"/>
    <xf borderId="0" fillId="0" fontId="11" numFmtId="9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12" fillId="5" fontId="14" numFmtId="0" xfId="0" applyAlignment="1" applyBorder="1" applyFill="1" applyFont="1">
      <alignment horizontal="center" shrinkToFit="0" vertical="center" wrapText="0"/>
    </xf>
    <xf borderId="12" fillId="0" fontId="4" numFmtId="0" xfId="0" applyAlignment="1" applyBorder="1" applyFont="1">
      <alignment horizontal="left" shrinkToFit="0" vertical="center" wrapText="1"/>
    </xf>
    <xf borderId="12" fillId="6" fontId="14" numFmtId="0" xfId="0" applyAlignment="1" applyBorder="1" applyFill="1" applyFont="1">
      <alignment horizontal="center" shrinkToFit="0" vertical="center" wrapText="0"/>
    </xf>
    <xf borderId="12" fillId="7" fontId="14" numFmtId="0" xfId="0" applyAlignment="1" applyBorder="1" applyFill="1" applyFont="1">
      <alignment horizontal="center" shrinkToFit="0" vertical="center" wrapText="0"/>
    </xf>
    <xf borderId="12" fillId="8" fontId="14" numFmtId="0" xfId="0" applyAlignment="1" applyBorder="1" applyFill="1" applyFont="1">
      <alignment horizontal="center" shrinkToFit="0" vertical="center" wrapText="0"/>
    </xf>
    <xf borderId="12" fillId="9" fontId="14" numFmtId="0" xfId="0" applyAlignment="1" applyBorder="1" applyFill="1" applyFont="1">
      <alignment horizontal="center" shrinkToFit="0" vertical="center" wrapText="0"/>
    </xf>
    <xf borderId="9" fillId="2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86"/>
    <col customWidth="1" min="2" max="2" width="13.86"/>
    <col customWidth="1" min="3" max="3" width="14.0"/>
    <col customWidth="1" min="4" max="4" width="13.0"/>
    <col customWidth="1" min="5" max="5" width="14.57"/>
    <col customWidth="1" min="6" max="6" width="4.0"/>
    <col customWidth="1" min="7" max="7" width="27.43"/>
    <col customWidth="1" min="8" max="8" width="18.0"/>
    <col customWidth="1" min="9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/>
      <c r="B2" s="5"/>
      <c r="C2" s="5"/>
      <c r="D2" s="5"/>
      <c r="E2" s="5"/>
      <c r="F2" s="5"/>
      <c r="G2" s="5"/>
      <c r="H2" s="6"/>
    </row>
    <row r="4">
      <c r="A4" s="7" t="s">
        <v>1</v>
      </c>
      <c r="B4" s="8">
        <f>TODAY()</f>
        <v>46210</v>
      </c>
    </row>
    <row r="6" ht="27.75" customHeight="1">
      <c r="A6" s="9" t="s">
        <v>2</v>
      </c>
      <c r="B6" s="10"/>
      <c r="C6" s="9" t="s">
        <v>3</v>
      </c>
      <c r="D6" s="10"/>
      <c r="E6" s="9" t="s">
        <v>4</v>
      </c>
      <c r="F6" s="10"/>
      <c r="G6" s="9" t="s">
        <v>5</v>
      </c>
      <c r="H6" s="10"/>
    </row>
    <row r="7" ht="30.0" customHeight="1">
      <c r="A7" s="11">
        <f>IFERROR(AVERAGE('Ambient Room'!J7:J21,'Chiller Room'!J7:J21,'Freezer Room'!J7:J21,'Blast Room'!J7:J21,'FNV Room'!J7:J21,'Corridor &amp; Warm Room'!J7:J21,'Ante Room'!J7:J21,Common_Works!J5:J17),0)</f>
        <v>0.8873239437</v>
      </c>
      <c r="B7" s="10"/>
      <c r="C7" s="12">
        <f>COUNTA('Ambient Room'!C7:C21)+COUNTA('Chiller Room'!C7:C21)+COUNTA('Freezer Room'!C7:C21)+COUNTA('Blast Room'!C7:C21)+COUNTA('FNV Room'!C7:C21)+COUNTA('Corridor &amp; Warm Room'!C7:C21)+COUNTA('Ante Room'!C7:C21)+COUNTA(Common_Works!C5:C17)</f>
        <v>118</v>
      </c>
      <c r="D7" s="10"/>
      <c r="E7" s="12">
        <f>COUNTIF(Room_Handover!I5:I11,"Ready for Handover")</f>
        <v>0</v>
      </c>
      <c r="F7" s="10"/>
      <c r="G7" s="12">
        <f>7</f>
        <v>7</v>
      </c>
      <c r="H7" s="10"/>
    </row>
    <row r="10" ht="15.0" customHeight="1">
      <c r="A10" s="13" t="s">
        <v>6</v>
      </c>
      <c r="B10" s="14"/>
      <c r="C10" s="14"/>
      <c r="D10" s="14"/>
      <c r="E10" s="14"/>
      <c r="F10" s="14"/>
      <c r="G10" s="14"/>
      <c r="H10" s="15"/>
    </row>
    <row r="11">
      <c r="A11" s="16" t="s">
        <v>7</v>
      </c>
      <c r="B11" s="16" t="s">
        <v>8</v>
      </c>
      <c r="C11" s="16" t="s">
        <v>9</v>
      </c>
      <c r="D11" s="16" t="s">
        <v>10</v>
      </c>
      <c r="E11" s="16" t="s">
        <v>11</v>
      </c>
      <c r="G11" s="16" t="s">
        <v>12</v>
      </c>
      <c r="H11" s="16" t="s">
        <v>13</v>
      </c>
    </row>
    <row r="12">
      <c r="A12" s="17" t="str">
        <f>Room_Handover!A5</f>
        <v>Ambient</v>
      </c>
      <c r="B12" s="18">
        <f>Room_Handover!B5</f>
        <v>0.8873239437</v>
      </c>
      <c r="C12" s="18">
        <f>Room_Handover!C5</f>
        <v>0</v>
      </c>
      <c r="D12" s="18">
        <f>Room_Handover!D5</f>
        <v>0</v>
      </c>
      <c r="E12" s="18">
        <f>Room_Handover!E5</f>
        <v>0.2957746479</v>
      </c>
      <c r="G12" s="19">
        <f>Room_Handover!F5</f>
        <v>46213</v>
      </c>
      <c r="H12" s="20" t="str">
        <f>Room_Handover!I5</f>
        <v>In Progress</v>
      </c>
    </row>
    <row r="13">
      <c r="A13" s="17" t="str">
        <f>Room_Handover!A6</f>
        <v>Chiller</v>
      </c>
      <c r="B13" s="18">
        <f>Room_Handover!B6</f>
        <v>0</v>
      </c>
      <c r="C13" s="18">
        <f>Room_Handover!C6</f>
        <v>0</v>
      </c>
      <c r="D13" s="18">
        <f>Room_Handover!D6</f>
        <v>0</v>
      </c>
      <c r="E13" s="18">
        <f>Room_Handover!E6</f>
        <v>0</v>
      </c>
      <c r="G13" s="19" t="str">
        <f>Room_Handover!F6</f>
        <v/>
      </c>
      <c r="H13" s="20" t="str">
        <f>Room_Handover!I6</f>
        <v>Not Started</v>
      </c>
    </row>
    <row r="14">
      <c r="A14" s="17" t="str">
        <f>Room_Handover!A7</f>
        <v>Freezer</v>
      </c>
      <c r="B14" s="18">
        <f>Room_Handover!B7</f>
        <v>0</v>
      </c>
      <c r="C14" s="18">
        <f>Room_Handover!C7</f>
        <v>0</v>
      </c>
      <c r="D14" s="18">
        <f>Room_Handover!D7</f>
        <v>0</v>
      </c>
      <c r="E14" s="18">
        <f>Room_Handover!E7</f>
        <v>0</v>
      </c>
      <c r="G14" s="19" t="str">
        <f>Room_Handover!F7</f>
        <v/>
      </c>
      <c r="H14" s="20" t="str">
        <f>Room_Handover!I7</f>
        <v>Not Started</v>
      </c>
    </row>
    <row r="15">
      <c r="A15" s="17" t="str">
        <f>Room_Handover!A8</f>
        <v>Blast</v>
      </c>
      <c r="B15" s="18">
        <f>Room_Handover!B8</f>
        <v>0</v>
      </c>
      <c r="C15" s="18">
        <f>Room_Handover!C8</f>
        <v>0</v>
      </c>
      <c r="D15" s="18">
        <f>Room_Handover!D8</f>
        <v>0</v>
      </c>
      <c r="E15" s="18">
        <f>Room_Handover!E8</f>
        <v>0</v>
      </c>
      <c r="G15" s="19" t="str">
        <f>Room_Handover!F8</f>
        <v/>
      </c>
      <c r="H15" s="20" t="str">
        <f>Room_Handover!I8</f>
        <v>Not Started</v>
      </c>
    </row>
    <row r="16">
      <c r="A16" s="17" t="str">
        <f>Room_Handover!A9</f>
        <v>FNV</v>
      </c>
      <c r="B16" s="18">
        <f>Room_Handover!B9</f>
        <v>0</v>
      </c>
      <c r="C16" s="18">
        <f>Room_Handover!C9</f>
        <v>0</v>
      </c>
      <c r="D16" s="18">
        <f>Room_Handover!D9</f>
        <v>0</v>
      </c>
      <c r="E16" s="18">
        <f>Room_Handover!E9</f>
        <v>0</v>
      </c>
      <c r="G16" s="19" t="str">
        <f>Room_Handover!F9</f>
        <v/>
      </c>
      <c r="H16" s="20" t="str">
        <f>Room_Handover!I9</f>
        <v>Not Started</v>
      </c>
    </row>
    <row r="17">
      <c r="A17" s="17" t="str">
        <f>Room_Handover!A10</f>
        <v>Corridor &amp; Warm Room</v>
      </c>
      <c r="B17" s="18">
        <f>Room_Handover!B10</f>
        <v>0</v>
      </c>
      <c r="C17" s="18">
        <f>Room_Handover!C10</f>
        <v>0</v>
      </c>
      <c r="D17" s="18">
        <f>Room_Handover!D10</f>
        <v>0</v>
      </c>
      <c r="E17" s="18">
        <f>Room_Handover!E10</f>
        <v>0</v>
      </c>
      <c r="G17" s="19" t="str">
        <f>Room_Handover!F10</f>
        <v/>
      </c>
      <c r="H17" s="20" t="str">
        <f>Room_Handover!I10</f>
        <v>Not Started</v>
      </c>
    </row>
    <row r="18">
      <c r="A18" s="17" t="str">
        <f>Room_Handover!A11</f>
        <v>Ante Room</v>
      </c>
      <c r="B18" s="18">
        <f>Room_Handover!B11</f>
        <v>0</v>
      </c>
      <c r="C18" s="18">
        <f>Room_Handover!C11</f>
        <v>0</v>
      </c>
      <c r="D18" s="18">
        <f>Room_Handover!D11</f>
        <v>0</v>
      </c>
      <c r="E18" s="18">
        <f>Room_Handover!E11</f>
        <v>0</v>
      </c>
      <c r="G18" s="19" t="str">
        <f>Room_Handover!F11</f>
        <v/>
      </c>
      <c r="H18" s="20" t="str">
        <f>Room_Handover!I11</f>
        <v>Not Started</v>
      </c>
    </row>
    <row r="21" ht="15.0" customHeight="1">
      <c r="A21" s="13" t="s">
        <v>14</v>
      </c>
      <c r="B21" s="14"/>
      <c r="C21" s="14"/>
      <c r="D21" s="14"/>
      <c r="E21" s="14"/>
      <c r="F21" s="14"/>
      <c r="G21" s="14"/>
      <c r="H21" s="15"/>
    </row>
    <row r="22" ht="15.0" customHeight="1">
      <c r="A22" s="16" t="s">
        <v>15</v>
      </c>
      <c r="B22" s="21" t="s">
        <v>16</v>
      </c>
      <c r="C22" s="14"/>
      <c r="D22" s="15"/>
    </row>
    <row r="23" ht="15.75" customHeight="1">
      <c r="A23" s="17" t="s">
        <v>17</v>
      </c>
      <c r="B23" s="22">
        <f>Room_Handover!B16</f>
        <v>0</v>
      </c>
      <c r="C23" s="14"/>
      <c r="D23" s="14"/>
    </row>
    <row r="24" ht="15.75" customHeight="1">
      <c r="A24" s="17" t="s">
        <v>18</v>
      </c>
      <c r="B24" s="22">
        <f>Room_Handover!B17</f>
        <v>0</v>
      </c>
      <c r="C24" s="14"/>
      <c r="D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F7"/>
    <mergeCell ref="G7:H7"/>
    <mergeCell ref="A10:H10"/>
    <mergeCell ref="A21:H21"/>
    <mergeCell ref="B22:D22"/>
    <mergeCell ref="B23:D23"/>
    <mergeCell ref="B24:D24"/>
    <mergeCell ref="A1:H2"/>
    <mergeCell ref="A6:B6"/>
    <mergeCell ref="C6:D6"/>
    <mergeCell ref="E6:F6"/>
    <mergeCell ref="G6:H6"/>
    <mergeCell ref="A7:B7"/>
    <mergeCell ref="C7:D7"/>
  </mergeCells>
  <conditionalFormatting sqref="H12:H18">
    <cfRule type="cellIs" dxfId="0" priority="1" operator="equal">
      <formula>"Ready for Handover"</formula>
    </cfRule>
  </conditionalFormatting>
  <conditionalFormatting sqref="H12:H18">
    <cfRule type="cellIs" dxfId="1" priority="2" operator="equal">
      <formula>"Near Completion"</formula>
    </cfRule>
  </conditionalFormatting>
  <conditionalFormatting sqref="H12:H18">
    <cfRule type="cellIs" dxfId="2" priority="3" operator="equal">
      <formula>"In Progress"</formula>
    </cfRule>
  </conditionalFormatting>
  <conditionalFormatting sqref="H12:H18">
    <cfRule type="cellIs" dxfId="3" priority="4" operator="equal">
      <formula>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0.43"/>
    <col customWidth="1" min="4" max="4" width="26.0"/>
    <col customWidth="1" min="5" max="5" width="8.0"/>
    <col customWidth="1" min="6" max="6" width="14.0"/>
    <col customWidth="1" min="7" max="7" width="16.0"/>
    <col customWidth="1" min="8" max="8" width="40.57"/>
    <col customWidth="1" min="9" max="26" width="8.71"/>
  </cols>
  <sheetData>
    <row r="1" ht="18.0" customHeight="1">
      <c r="A1" s="23" t="s">
        <v>19</v>
      </c>
      <c r="B1" s="2"/>
      <c r="C1" s="2"/>
      <c r="D1" s="2"/>
      <c r="E1" s="2"/>
      <c r="F1" s="2"/>
      <c r="G1" s="2"/>
      <c r="H1" s="3"/>
    </row>
    <row r="2" ht="18.0" customHeight="1">
      <c r="A2" s="4"/>
      <c r="B2" s="5"/>
      <c r="C2" s="5"/>
      <c r="D2" s="5"/>
      <c r="E2" s="5"/>
      <c r="F2" s="5"/>
      <c r="G2" s="5"/>
      <c r="H2" s="6"/>
    </row>
    <row r="3" ht="27.75" customHeight="1">
      <c r="A3" s="24" t="s">
        <v>20</v>
      </c>
    </row>
    <row r="4" ht="36.0" customHeight="1">
      <c r="A4" s="16" t="s">
        <v>21</v>
      </c>
      <c r="B4" s="16" t="s">
        <v>7</v>
      </c>
      <c r="C4" s="16" t="s">
        <v>15</v>
      </c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</row>
    <row r="5">
      <c r="A5" s="19">
        <v>46184.0</v>
      </c>
      <c r="B5" s="20" t="s">
        <v>27</v>
      </c>
      <c r="C5" s="20" t="s">
        <v>28</v>
      </c>
      <c r="D5" s="20" t="s">
        <v>29</v>
      </c>
      <c r="E5" s="20" t="s">
        <v>30</v>
      </c>
      <c r="F5" s="20">
        <v>90.0</v>
      </c>
      <c r="G5" s="20" t="s">
        <v>31</v>
      </c>
      <c r="H5" s="17" t="s">
        <v>32</v>
      </c>
    </row>
    <row r="6">
      <c r="A6" s="19">
        <v>46185.0</v>
      </c>
      <c r="B6" s="20" t="s">
        <v>27</v>
      </c>
      <c r="C6" s="20" t="s">
        <v>28</v>
      </c>
      <c r="D6" s="20" t="s">
        <v>29</v>
      </c>
      <c r="E6" s="20" t="s">
        <v>30</v>
      </c>
      <c r="F6" s="20">
        <v>75.0</v>
      </c>
      <c r="G6" s="20" t="s">
        <v>31</v>
      </c>
      <c r="H6" s="17"/>
    </row>
    <row r="7">
      <c r="A7" s="19">
        <v>46186.0</v>
      </c>
      <c r="B7" s="25" t="s">
        <v>33</v>
      </c>
      <c r="C7" s="20" t="s">
        <v>28</v>
      </c>
      <c r="D7" s="20" t="s">
        <v>29</v>
      </c>
      <c r="E7" s="20" t="s">
        <v>30</v>
      </c>
      <c r="F7" s="20">
        <v>36.0</v>
      </c>
      <c r="G7" s="20" t="s">
        <v>31</v>
      </c>
      <c r="H7" s="17" t="s">
        <v>34</v>
      </c>
    </row>
    <row r="8">
      <c r="A8" s="26">
        <v>46210.0</v>
      </c>
      <c r="B8" s="25" t="s">
        <v>27</v>
      </c>
      <c r="C8" s="25" t="s">
        <v>28</v>
      </c>
      <c r="D8" s="25" t="s">
        <v>35</v>
      </c>
      <c r="E8" s="25" t="s">
        <v>36</v>
      </c>
      <c r="F8" s="25">
        <v>55.0</v>
      </c>
      <c r="G8" s="25" t="s">
        <v>37</v>
      </c>
      <c r="H8" s="17"/>
    </row>
    <row r="9">
      <c r="A9" s="26">
        <v>46187.0</v>
      </c>
      <c r="B9" s="25" t="s">
        <v>38</v>
      </c>
      <c r="C9" s="25" t="s">
        <v>17</v>
      </c>
      <c r="D9" s="25" t="s">
        <v>39</v>
      </c>
      <c r="E9" s="25" t="s">
        <v>30</v>
      </c>
      <c r="F9" s="25">
        <v>10.0</v>
      </c>
      <c r="G9" s="25" t="s">
        <v>40</v>
      </c>
      <c r="H9" s="17"/>
    </row>
    <row r="10">
      <c r="A10" s="19"/>
      <c r="B10" s="20"/>
      <c r="C10" s="20"/>
      <c r="D10" s="20"/>
      <c r="E10" s="20"/>
      <c r="F10" s="20"/>
      <c r="G10" s="20"/>
      <c r="H10" s="17"/>
    </row>
    <row r="11">
      <c r="A11" s="19"/>
      <c r="B11" s="20"/>
      <c r="C11" s="20"/>
      <c r="D11" s="20"/>
      <c r="E11" s="20"/>
      <c r="F11" s="20"/>
      <c r="G11" s="20"/>
      <c r="H11" s="17"/>
    </row>
    <row r="12">
      <c r="A12" s="19"/>
      <c r="B12" s="20"/>
      <c r="C12" s="20"/>
      <c r="D12" s="20"/>
      <c r="E12" s="20"/>
      <c r="F12" s="20"/>
      <c r="G12" s="20"/>
      <c r="H12" s="17"/>
    </row>
    <row r="13">
      <c r="A13" s="19"/>
      <c r="B13" s="20"/>
      <c r="C13" s="20"/>
      <c r="D13" s="20"/>
      <c r="E13" s="20"/>
      <c r="F13" s="20"/>
      <c r="G13" s="20"/>
      <c r="H13" s="17"/>
    </row>
    <row r="14">
      <c r="A14" s="19"/>
      <c r="B14" s="20"/>
      <c r="C14" s="20"/>
      <c r="D14" s="20"/>
      <c r="E14" s="20"/>
      <c r="F14" s="20"/>
      <c r="G14" s="20"/>
      <c r="H14" s="17"/>
    </row>
    <row r="15">
      <c r="A15" s="19"/>
      <c r="B15" s="20"/>
      <c r="C15" s="20"/>
      <c r="D15" s="20"/>
      <c r="E15" s="20"/>
      <c r="F15" s="20"/>
      <c r="G15" s="20"/>
      <c r="H15" s="17"/>
    </row>
    <row r="16">
      <c r="A16" s="19"/>
      <c r="B16" s="20"/>
      <c r="C16" s="20"/>
      <c r="D16" s="20"/>
      <c r="E16" s="20"/>
      <c r="F16" s="20"/>
      <c r="G16" s="20"/>
      <c r="H16" s="17"/>
    </row>
    <row r="17">
      <c r="A17" s="19"/>
      <c r="B17" s="20"/>
      <c r="C17" s="20"/>
      <c r="D17" s="20"/>
      <c r="E17" s="20"/>
      <c r="F17" s="20"/>
      <c r="G17" s="20"/>
      <c r="H17" s="17"/>
    </row>
    <row r="18">
      <c r="A18" s="19"/>
      <c r="B18" s="20"/>
      <c r="C18" s="20"/>
      <c r="D18" s="20"/>
      <c r="E18" s="20"/>
      <c r="F18" s="20"/>
      <c r="G18" s="20"/>
      <c r="H18" s="17"/>
    </row>
    <row r="19">
      <c r="A19" s="19"/>
      <c r="B19" s="20"/>
      <c r="C19" s="20"/>
      <c r="D19" s="20"/>
      <c r="E19" s="20"/>
      <c r="F19" s="20"/>
      <c r="G19" s="20"/>
      <c r="H19" s="17"/>
    </row>
    <row r="20">
      <c r="A20" s="19"/>
      <c r="B20" s="20"/>
      <c r="C20" s="20"/>
      <c r="D20" s="20"/>
      <c r="E20" s="20"/>
      <c r="F20" s="20"/>
      <c r="G20" s="20"/>
      <c r="H20" s="17"/>
    </row>
    <row r="21" ht="15.75" customHeight="1">
      <c r="A21" s="19"/>
      <c r="B21" s="20"/>
      <c r="C21" s="20"/>
      <c r="D21" s="20"/>
      <c r="E21" s="20"/>
      <c r="F21" s="20"/>
      <c r="G21" s="20"/>
      <c r="H21" s="17"/>
    </row>
    <row r="22" ht="15.75" customHeight="1">
      <c r="A22" s="19"/>
      <c r="B22" s="20"/>
      <c r="C22" s="20"/>
      <c r="D22" s="20"/>
      <c r="E22" s="20"/>
      <c r="F22" s="20"/>
      <c r="G22" s="20"/>
      <c r="H22" s="17"/>
    </row>
    <row r="23" ht="15.75" customHeight="1">
      <c r="A23" s="19"/>
      <c r="B23" s="20"/>
      <c r="C23" s="20"/>
      <c r="D23" s="20"/>
      <c r="E23" s="20"/>
      <c r="F23" s="20"/>
      <c r="G23" s="20"/>
      <c r="H23" s="17"/>
    </row>
    <row r="24" ht="15.75" customHeight="1">
      <c r="A24" s="19"/>
      <c r="B24" s="20"/>
      <c r="C24" s="20"/>
      <c r="D24" s="20"/>
      <c r="E24" s="20"/>
      <c r="F24" s="20"/>
      <c r="G24" s="20"/>
      <c r="H24" s="17"/>
    </row>
    <row r="25" ht="15.75" customHeight="1">
      <c r="A25" s="19"/>
      <c r="B25" s="20"/>
      <c r="C25" s="20"/>
      <c r="D25" s="20"/>
      <c r="E25" s="20"/>
      <c r="F25" s="20"/>
      <c r="G25" s="20"/>
      <c r="H25" s="17"/>
    </row>
    <row r="26" ht="15.75" customHeight="1">
      <c r="A26" s="19"/>
      <c r="B26" s="20"/>
      <c r="C26" s="20"/>
      <c r="D26" s="20"/>
      <c r="E26" s="20"/>
      <c r="F26" s="20"/>
      <c r="G26" s="20"/>
      <c r="H26" s="17"/>
    </row>
    <row r="27" ht="15.75" customHeight="1">
      <c r="A27" s="19"/>
      <c r="B27" s="20"/>
      <c r="C27" s="20"/>
      <c r="D27" s="20"/>
      <c r="E27" s="20"/>
      <c r="F27" s="20"/>
      <c r="G27" s="20"/>
      <c r="H27" s="17"/>
    </row>
    <row r="28" ht="15.75" customHeight="1">
      <c r="A28" s="19"/>
      <c r="B28" s="20"/>
      <c r="C28" s="20"/>
      <c r="D28" s="20"/>
      <c r="E28" s="20"/>
      <c r="F28" s="20"/>
      <c r="G28" s="20"/>
      <c r="H28" s="17"/>
    </row>
    <row r="29" ht="15.75" customHeight="1">
      <c r="A29" s="19"/>
      <c r="B29" s="20"/>
      <c r="C29" s="20"/>
      <c r="D29" s="20"/>
      <c r="E29" s="20"/>
      <c r="F29" s="20"/>
      <c r="G29" s="20"/>
      <c r="H29" s="17"/>
    </row>
    <row r="30" ht="15.75" customHeight="1">
      <c r="A30" s="19"/>
      <c r="B30" s="20"/>
      <c r="C30" s="20"/>
      <c r="D30" s="20"/>
      <c r="E30" s="20"/>
      <c r="F30" s="20"/>
      <c r="G30" s="20"/>
      <c r="H30" s="17"/>
    </row>
    <row r="31" ht="15.75" customHeight="1">
      <c r="A31" s="19"/>
      <c r="B31" s="20"/>
      <c r="C31" s="20"/>
      <c r="D31" s="20"/>
      <c r="E31" s="20"/>
      <c r="F31" s="20"/>
      <c r="G31" s="20"/>
      <c r="H31" s="17"/>
    </row>
    <row r="32" ht="15.75" customHeight="1">
      <c r="A32" s="19"/>
      <c r="B32" s="20"/>
      <c r="C32" s="20"/>
      <c r="D32" s="20"/>
      <c r="E32" s="20"/>
      <c r="F32" s="20"/>
      <c r="G32" s="20"/>
      <c r="H32" s="17"/>
    </row>
    <row r="33" ht="15.75" customHeight="1">
      <c r="A33" s="19"/>
      <c r="B33" s="20"/>
      <c r="C33" s="20"/>
      <c r="D33" s="20"/>
      <c r="E33" s="20"/>
      <c r="F33" s="20"/>
      <c r="G33" s="20"/>
      <c r="H33" s="17"/>
    </row>
    <row r="34" ht="15.75" customHeight="1">
      <c r="A34" s="19"/>
      <c r="B34" s="20"/>
      <c r="C34" s="20"/>
      <c r="D34" s="20"/>
      <c r="E34" s="20"/>
      <c r="F34" s="20"/>
      <c r="G34" s="20"/>
      <c r="H34" s="17"/>
    </row>
    <row r="35" ht="15.75" customHeight="1">
      <c r="A35" s="19"/>
      <c r="B35" s="20"/>
      <c r="C35" s="20"/>
      <c r="D35" s="20"/>
      <c r="E35" s="20"/>
      <c r="F35" s="20"/>
      <c r="G35" s="20"/>
      <c r="H35" s="17"/>
    </row>
    <row r="36" ht="15.75" customHeight="1">
      <c r="A36" s="19"/>
      <c r="B36" s="20"/>
      <c r="C36" s="20"/>
      <c r="D36" s="20"/>
      <c r="E36" s="20"/>
      <c r="F36" s="20"/>
      <c r="G36" s="20"/>
      <c r="H36" s="17"/>
    </row>
    <row r="37" ht="15.75" customHeight="1">
      <c r="A37" s="19"/>
      <c r="B37" s="20"/>
      <c r="C37" s="20"/>
      <c r="D37" s="20"/>
      <c r="E37" s="20"/>
      <c r="F37" s="20"/>
      <c r="G37" s="20"/>
      <c r="H37" s="17"/>
    </row>
    <row r="38" ht="15.75" customHeight="1">
      <c r="A38" s="19"/>
      <c r="B38" s="20"/>
      <c r="C38" s="20"/>
      <c r="D38" s="20"/>
      <c r="E38" s="20"/>
      <c r="F38" s="20"/>
      <c r="G38" s="20"/>
      <c r="H38" s="17"/>
    </row>
    <row r="39" ht="15.75" customHeight="1">
      <c r="A39" s="19"/>
      <c r="B39" s="20"/>
      <c r="C39" s="20"/>
      <c r="D39" s="20"/>
      <c r="E39" s="20"/>
      <c r="F39" s="20"/>
      <c r="G39" s="20"/>
      <c r="H39" s="17"/>
    </row>
    <row r="40" ht="15.75" customHeight="1">
      <c r="A40" s="19"/>
      <c r="B40" s="20"/>
      <c r="C40" s="20"/>
      <c r="D40" s="20"/>
      <c r="E40" s="20"/>
      <c r="F40" s="20"/>
      <c r="G40" s="20"/>
      <c r="H40" s="17"/>
    </row>
    <row r="41" ht="15.75" customHeight="1">
      <c r="A41" s="19"/>
      <c r="B41" s="20"/>
      <c r="C41" s="20"/>
      <c r="D41" s="20"/>
      <c r="E41" s="20"/>
      <c r="F41" s="20"/>
      <c r="G41" s="20"/>
      <c r="H41" s="17"/>
    </row>
    <row r="42" ht="15.75" customHeight="1">
      <c r="A42" s="19"/>
      <c r="B42" s="20"/>
      <c r="C42" s="20"/>
      <c r="D42" s="20"/>
      <c r="E42" s="20"/>
      <c r="F42" s="20"/>
      <c r="G42" s="20"/>
      <c r="H42" s="17"/>
    </row>
    <row r="43" ht="15.75" customHeight="1">
      <c r="A43" s="19"/>
      <c r="B43" s="20"/>
      <c r="C43" s="20"/>
      <c r="D43" s="20"/>
      <c r="E43" s="20"/>
      <c r="F43" s="20"/>
      <c r="G43" s="20"/>
      <c r="H43" s="17"/>
    </row>
    <row r="44" ht="15.75" customHeight="1">
      <c r="A44" s="19"/>
      <c r="B44" s="20"/>
      <c r="C44" s="20"/>
      <c r="D44" s="20"/>
      <c r="E44" s="20"/>
      <c r="F44" s="20"/>
      <c r="G44" s="20"/>
      <c r="H44" s="17"/>
    </row>
    <row r="45" ht="15.75" customHeight="1">
      <c r="A45" s="19"/>
      <c r="B45" s="20"/>
      <c r="C45" s="20"/>
      <c r="D45" s="20"/>
      <c r="E45" s="20"/>
      <c r="F45" s="20"/>
      <c r="G45" s="20"/>
      <c r="H45" s="17"/>
    </row>
    <row r="46" ht="15.75" customHeight="1">
      <c r="A46" s="19"/>
      <c r="B46" s="20"/>
      <c r="C46" s="20"/>
      <c r="D46" s="20"/>
      <c r="E46" s="20"/>
      <c r="F46" s="20"/>
      <c r="G46" s="20"/>
      <c r="H46" s="17"/>
    </row>
    <row r="47" ht="15.75" customHeight="1">
      <c r="A47" s="19"/>
      <c r="B47" s="20"/>
      <c r="C47" s="20"/>
      <c r="D47" s="20"/>
      <c r="E47" s="20"/>
      <c r="F47" s="20"/>
      <c r="G47" s="20"/>
      <c r="H47" s="17"/>
    </row>
    <row r="48" ht="15.75" customHeight="1">
      <c r="A48" s="19"/>
      <c r="B48" s="20"/>
      <c r="C48" s="20"/>
      <c r="D48" s="20"/>
      <c r="E48" s="20"/>
      <c r="F48" s="20"/>
      <c r="G48" s="20"/>
      <c r="H48" s="17"/>
    </row>
    <row r="49" ht="15.75" customHeight="1">
      <c r="A49" s="19"/>
      <c r="B49" s="20"/>
      <c r="C49" s="20"/>
      <c r="D49" s="20"/>
      <c r="E49" s="20"/>
      <c r="F49" s="20"/>
      <c r="G49" s="20"/>
      <c r="H49" s="17"/>
    </row>
    <row r="50" ht="15.75" customHeight="1">
      <c r="A50" s="19"/>
      <c r="B50" s="20"/>
      <c r="C50" s="20"/>
      <c r="D50" s="20"/>
      <c r="E50" s="20"/>
      <c r="F50" s="20"/>
      <c r="G50" s="20"/>
      <c r="H50" s="17"/>
    </row>
    <row r="51" ht="15.75" customHeight="1">
      <c r="A51" s="19"/>
      <c r="B51" s="20"/>
      <c r="C51" s="20"/>
      <c r="D51" s="20"/>
      <c r="E51" s="20"/>
      <c r="F51" s="20"/>
      <c r="G51" s="20"/>
      <c r="H51" s="17"/>
    </row>
    <row r="52" ht="15.75" customHeight="1">
      <c r="A52" s="19"/>
      <c r="B52" s="20"/>
      <c r="C52" s="20"/>
      <c r="D52" s="20"/>
      <c r="E52" s="20"/>
      <c r="F52" s="20"/>
      <c r="G52" s="20"/>
      <c r="H52" s="17"/>
    </row>
    <row r="53" ht="15.75" customHeight="1">
      <c r="A53" s="19"/>
      <c r="B53" s="20"/>
      <c r="C53" s="20"/>
      <c r="D53" s="20"/>
      <c r="E53" s="20"/>
      <c r="F53" s="20"/>
      <c r="G53" s="20"/>
      <c r="H53" s="17"/>
    </row>
    <row r="54" ht="15.75" customHeight="1">
      <c r="A54" s="19"/>
      <c r="B54" s="20"/>
      <c r="C54" s="20"/>
      <c r="D54" s="20"/>
      <c r="E54" s="20"/>
      <c r="F54" s="20"/>
      <c r="G54" s="20"/>
      <c r="H54" s="17"/>
    </row>
    <row r="55" ht="15.75" customHeight="1">
      <c r="A55" s="19"/>
      <c r="B55" s="20"/>
      <c r="C55" s="20"/>
      <c r="D55" s="20"/>
      <c r="E55" s="20"/>
      <c r="F55" s="20"/>
      <c r="G55" s="20"/>
      <c r="H55" s="17"/>
    </row>
    <row r="56" ht="15.75" customHeight="1">
      <c r="A56" s="19"/>
      <c r="B56" s="20"/>
      <c r="C56" s="20"/>
      <c r="D56" s="20"/>
      <c r="E56" s="20"/>
      <c r="F56" s="20"/>
      <c r="G56" s="20"/>
      <c r="H56" s="17"/>
    </row>
    <row r="57" ht="15.75" customHeight="1">
      <c r="A57" s="19"/>
      <c r="B57" s="20"/>
      <c r="C57" s="20"/>
      <c r="D57" s="20"/>
      <c r="E57" s="20"/>
      <c r="F57" s="20"/>
      <c r="G57" s="20"/>
      <c r="H57" s="17"/>
    </row>
    <row r="58" ht="15.75" customHeight="1">
      <c r="A58" s="19"/>
      <c r="B58" s="20"/>
      <c r="C58" s="20"/>
      <c r="D58" s="20"/>
      <c r="E58" s="20"/>
      <c r="F58" s="20"/>
      <c r="G58" s="20"/>
      <c r="H58" s="17"/>
    </row>
    <row r="59" ht="15.75" customHeight="1">
      <c r="A59" s="19"/>
      <c r="B59" s="20"/>
      <c r="C59" s="20"/>
      <c r="D59" s="20"/>
      <c r="E59" s="20"/>
      <c r="F59" s="20"/>
      <c r="G59" s="20"/>
      <c r="H59" s="17"/>
    </row>
    <row r="60" ht="15.75" customHeight="1">
      <c r="A60" s="19"/>
      <c r="B60" s="20"/>
      <c r="C60" s="20"/>
      <c r="D60" s="20"/>
      <c r="E60" s="20"/>
      <c r="F60" s="20"/>
      <c r="G60" s="20"/>
      <c r="H60" s="17"/>
    </row>
    <row r="61" ht="15.75" customHeight="1">
      <c r="A61" s="19"/>
      <c r="B61" s="20"/>
      <c r="C61" s="20"/>
      <c r="D61" s="20"/>
      <c r="E61" s="20"/>
      <c r="F61" s="20"/>
      <c r="G61" s="20"/>
      <c r="H61" s="17"/>
    </row>
    <row r="62" ht="15.75" customHeight="1">
      <c r="A62" s="19"/>
      <c r="B62" s="20"/>
      <c r="C62" s="20"/>
      <c r="D62" s="20"/>
      <c r="E62" s="20"/>
      <c r="F62" s="20"/>
      <c r="G62" s="20"/>
      <c r="H62" s="17"/>
    </row>
    <row r="63" ht="15.75" customHeight="1">
      <c r="A63" s="19"/>
      <c r="B63" s="20"/>
      <c r="C63" s="20"/>
      <c r="D63" s="20"/>
      <c r="E63" s="20"/>
      <c r="F63" s="20"/>
      <c r="G63" s="20"/>
      <c r="H63" s="17"/>
    </row>
    <row r="64" ht="15.75" customHeight="1">
      <c r="A64" s="19"/>
      <c r="B64" s="20"/>
      <c r="C64" s="20"/>
      <c r="D64" s="20"/>
      <c r="E64" s="20"/>
      <c r="F64" s="20"/>
      <c r="G64" s="20"/>
      <c r="H64" s="17"/>
    </row>
    <row r="65" ht="15.75" customHeight="1">
      <c r="A65" s="19"/>
      <c r="B65" s="20"/>
      <c r="C65" s="20"/>
      <c r="D65" s="20"/>
      <c r="E65" s="20"/>
      <c r="F65" s="20"/>
      <c r="G65" s="20"/>
      <c r="H65" s="17"/>
    </row>
    <row r="66" ht="15.75" customHeight="1">
      <c r="A66" s="19"/>
      <c r="B66" s="20"/>
      <c r="C66" s="20"/>
      <c r="D66" s="20"/>
      <c r="E66" s="20"/>
      <c r="F66" s="20"/>
      <c r="G66" s="20"/>
      <c r="H66" s="17"/>
    </row>
    <row r="67" ht="15.75" customHeight="1">
      <c r="A67" s="19"/>
      <c r="B67" s="20"/>
      <c r="C67" s="20"/>
      <c r="D67" s="20"/>
      <c r="E67" s="20"/>
      <c r="F67" s="20"/>
      <c r="G67" s="20"/>
      <c r="H67" s="17"/>
    </row>
    <row r="68" ht="15.75" customHeight="1">
      <c r="A68" s="19"/>
      <c r="B68" s="20"/>
      <c r="C68" s="20"/>
      <c r="D68" s="20"/>
      <c r="E68" s="20"/>
      <c r="F68" s="20"/>
      <c r="G68" s="20"/>
      <c r="H68" s="17"/>
    </row>
    <row r="69" ht="15.75" customHeight="1">
      <c r="A69" s="19"/>
      <c r="B69" s="20"/>
      <c r="C69" s="20"/>
      <c r="D69" s="20"/>
      <c r="E69" s="20"/>
      <c r="F69" s="20"/>
      <c r="G69" s="20"/>
      <c r="H69" s="17"/>
    </row>
    <row r="70" ht="15.75" customHeight="1">
      <c r="A70" s="19"/>
      <c r="B70" s="20"/>
      <c r="C70" s="20"/>
      <c r="D70" s="20"/>
      <c r="E70" s="20"/>
      <c r="F70" s="20"/>
      <c r="G70" s="20"/>
      <c r="H70" s="17"/>
    </row>
    <row r="71" ht="15.75" customHeight="1">
      <c r="A71" s="19"/>
      <c r="B71" s="20"/>
      <c r="C71" s="20"/>
      <c r="D71" s="20"/>
      <c r="E71" s="20"/>
      <c r="F71" s="20"/>
      <c r="G71" s="20"/>
      <c r="H71" s="17"/>
    </row>
    <row r="72" ht="15.75" customHeight="1">
      <c r="A72" s="19"/>
      <c r="B72" s="20"/>
      <c r="C72" s="20"/>
      <c r="D72" s="20"/>
      <c r="E72" s="20"/>
      <c r="F72" s="20"/>
      <c r="G72" s="20"/>
      <c r="H72" s="17"/>
    </row>
    <row r="73" ht="15.75" customHeight="1">
      <c r="A73" s="19"/>
      <c r="B73" s="20"/>
      <c r="C73" s="20"/>
      <c r="D73" s="20"/>
      <c r="E73" s="20"/>
      <c r="F73" s="20"/>
      <c r="G73" s="20"/>
      <c r="H73" s="17"/>
    </row>
    <row r="74" ht="15.75" customHeight="1">
      <c r="A74" s="19"/>
      <c r="B74" s="20"/>
      <c r="C74" s="20"/>
      <c r="D74" s="20"/>
      <c r="E74" s="20"/>
      <c r="F74" s="20"/>
      <c r="G74" s="20"/>
      <c r="H74" s="17"/>
    </row>
    <row r="75" ht="15.75" customHeight="1">
      <c r="A75" s="19"/>
      <c r="B75" s="20"/>
      <c r="C75" s="20"/>
      <c r="D75" s="20"/>
      <c r="E75" s="20"/>
      <c r="F75" s="20"/>
      <c r="G75" s="20"/>
      <c r="H75" s="17"/>
    </row>
    <row r="76" ht="15.75" customHeight="1">
      <c r="A76" s="19"/>
      <c r="B76" s="20"/>
      <c r="C76" s="20"/>
      <c r="D76" s="20"/>
      <c r="E76" s="20"/>
      <c r="F76" s="20"/>
      <c r="G76" s="20"/>
      <c r="H76" s="17"/>
    </row>
    <row r="77" ht="15.75" customHeight="1">
      <c r="A77" s="19"/>
      <c r="B77" s="20"/>
      <c r="C77" s="20"/>
      <c r="D77" s="20"/>
      <c r="E77" s="20"/>
      <c r="F77" s="20"/>
      <c r="G77" s="20"/>
      <c r="H77" s="17"/>
    </row>
    <row r="78" ht="15.75" customHeight="1">
      <c r="A78" s="19"/>
      <c r="B78" s="20"/>
      <c r="C78" s="20"/>
      <c r="D78" s="20"/>
      <c r="E78" s="20"/>
      <c r="F78" s="20"/>
      <c r="G78" s="20"/>
      <c r="H78" s="17"/>
    </row>
    <row r="79" ht="15.75" customHeight="1">
      <c r="A79" s="19"/>
      <c r="B79" s="20"/>
      <c r="C79" s="20"/>
      <c r="D79" s="20"/>
      <c r="E79" s="20"/>
      <c r="F79" s="20"/>
      <c r="G79" s="20"/>
      <c r="H79" s="17"/>
    </row>
    <row r="80" ht="15.75" customHeight="1">
      <c r="A80" s="19"/>
      <c r="B80" s="20"/>
      <c r="C80" s="20"/>
      <c r="D80" s="20"/>
      <c r="E80" s="20"/>
      <c r="F80" s="20"/>
      <c r="G80" s="20"/>
      <c r="H80" s="17"/>
    </row>
    <row r="81" ht="15.75" customHeight="1">
      <c r="A81" s="19"/>
      <c r="B81" s="20"/>
      <c r="C81" s="20"/>
      <c r="D81" s="20"/>
      <c r="E81" s="20"/>
      <c r="F81" s="20"/>
      <c r="G81" s="20"/>
      <c r="H81" s="17"/>
    </row>
    <row r="82" ht="15.75" customHeight="1">
      <c r="A82" s="19"/>
      <c r="B82" s="20"/>
      <c r="C82" s="20"/>
      <c r="D82" s="20"/>
      <c r="E82" s="20"/>
      <c r="F82" s="20"/>
      <c r="G82" s="20"/>
      <c r="H82" s="17"/>
    </row>
    <row r="83" ht="15.75" customHeight="1">
      <c r="A83" s="19"/>
      <c r="B83" s="20"/>
      <c r="C83" s="20"/>
      <c r="D83" s="20"/>
      <c r="E83" s="20"/>
      <c r="F83" s="20"/>
      <c r="G83" s="20"/>
      <c r="H83" s="17"/>
    </row>
    <row r="84" ht="15.75" customHeight="1">
      <c r="A84" s="19"/>
      <c r="B84" s="20"/>
      <c r="C84" s="20"/>
      <c r="D84" s="20"/>
      <c r="E84" s="20"/>
      <c r="F84" s="20"/>
      <c r="G84" s="20"/>
      <c r="H84" s="17"/>
    </row>
    <row r="85" ht="15.75" customHeight="1">
      <c r="A85" s="19"/>
      <c r="B85" s="20"/>
      <c r="C85" s="20"/>
      <c r="D85" s="20"/>
      <c r="E85" s="20"/>
      <c r="F85" s="20"/>
      <c r="G85" s="20"/>
      <c r="H85" s="17"/>
    </row>
    <row r="86" ht="15.75" customHeight="1">
      <c r="A86" s="19"/>
      <c r="B86" s="20"/>
      <c r="C86" s="20"/>
      <c r="D86" s="20"/>
      <c r="E86" s="20"/>
      <c r="F86" s="20"/>
      <c r="G86" s="20"/>
      <c r="H86" s="17"/>
    </row>
    <row r="87" ht="15.75" customHeight="1">
      <c r="A87" s="19"/>
      <c r="B87" s="20"/>
      <c r="C87" s="20"/>
      <c r="D87" s="20"/>
      <c r="E87" s="20"/>
      <c r="F87" s="20"/>
      <c r="G87" s="20"/>
      <c r="H87" s="17"/>
    </row>
    <row r="88" ht="15.75" customHeight="1">
      <c r="A88" s="19"/>
      <c r="B88" s="20"/>
      <c r="C88" s="20"/>
      <c r="D88" s="20"/>
      <c r="E88" s="20"/>
      <c r="F88" s="20"/>
      <c r="G88" s="20"/>
      <c r="H88" s="17"/>
    </row>
    <row r="89" ht="15.75" customHeight="1">
      <c r="A89" s="19"/>
      <c r="B89" s="20"/>
      <c r="C89" s="20"/>
      <c r="D89" s="20"/>
      <c r="E89" s="20"/>
      <c r="F89" s="20"/>
      <c r="G89" s="20"/>
      <c r="H89" s="17"/>
    </row>
    <row r="90" ht="15.75" customHeight="1">
      <c r="A90" s="19"/>
      <c r="B90" s="20"/>
      <c r="C90" s="20"/>
      <c r="D90" s="20"/>
      <c r="E90" s="20"/>
      <c r="F90" s="20"/>
      <c r="G90" s="20"/>
      <c r="H90" s="17"/>
    </row>
    <row r="91" ht="15.75" customHeight="1">
      <c r="A91" s="19"/>
      <c r="B91" s="20"/>
      <c r="C91" s="20"/>
      <c r="D91" s="20"/>
      <c r="E91" s="20"/>
      <c r="F91" s="20"/>
      <c r="G91" s="20"/>
      <c r="H91" s="17"/>
    </row>
    <row r="92" ht="15.75" customHeight="1">
      <c r="A92" s="19"/>
      <c r="B92" s="20"/>
      <c r="C92" s="20"/>
      <c r="D92" s="20"/>
      <c r="E92" s="20"/>
      <c r="F92" s="20"/>
      <c r="G92" s="20"/>
      <c r="H92" s="17"/>
    </row>
    <row r="93" ht="15.75" customHeight="1">
      <c r="A93" s="19"/>
      <c r="B93" s="20"/>
      <c r="C93" s="20"/>
      <c r="D93" s="20"/>
      <c r="E93" s="20"/>
      <c r="F93" s="20"/>
      <c r="G93" s="20"/>
      <c r="H93" s="17"/>
    </row>
    <row r="94" ht="15.75" customHeight="1">
      <c r="A94" s="19"/>
      <c r="B94" s="20"/>
      <c r="C94" s="20"/>
      <c r="D94" s="20"/>
      <c r="E94" s="20"/>
      <c r="F94" s="20"/>
      <c r="G94" s="20"/>
      <c r="H94" s="17"/>
    </row>
    <row r="95" ht="15.75" customHeight="1">
      <c r="A95" s="19"/>
      <c r="B95" s="20"/>
      <c r="C95" s="20"/>
      <c r="D95" s="20"/>
      <c r="E95" s="20"/>
      <c r="F95" s="20"/>
      <c r="G95" s="20"/>
      <c r="H95" s="17"/>
    </row>
    <row r="96" ht="15.75" customHeight="1">
      <c r="A96" s="19"/>
      <c r="B96" s="20"/>
      <c r="C96" s="20"/>
      <c r="D96" s="20"/>
      <c r="E96" s="20"/>
      <c r="F96" s="20"/>
      <c r="G96" s="20"/>
      <c r="H96" s="17"/>
    </row>
    <row r="97" ht="15.75" customHeight="1">
      <c r="A97" s="19"/>
      <c r="B97" s="20"/>
      <c r="C97" s="20"/>
      <c r="D97" s="20"/>
      <c r="E97" s="20"/>
      <c r="F97" s="20"/>
      <c r="G97" s="20"/>
      <c r="H97" s="17"/>
    </row>
    <row r="98" ht="15.75" customHeight="1">
      <c r="A98" s="19"/>
      <c r="B98" s="20"/>
      <c r="C98" s="20"/>
      <c r="D98" s="20"/>
      <c r="E98" s="20"/>
      <c r="F98" s="20"/>
      <c r="G98" s="20"/>
      <c r="H98" s="17"/>
    </row>
    <row r="99" ht="15.75" customHeight="1">
      <c r="A99" s="19"/>
      <c r="B99" s="20"/>
      <c r="C99" s="20"/>
      <c r="D99" s="20"/>
      <c r="E99" s="20"/>
      <c r="F99" s="20"/>
      <c r="G99" s="20"/>
      <c r="H99" s="17"/>
    </row>
    <row r="100" ht="15.75" customHeight="1">
      <c r="A100" s="19"/>
      <c r="B100" s="20"/>
      <c r="C100" s="20"/>
      <c r="D100" s="20"/>
      <c r="E100" s="20"/>
      <c r="F100" s="20"/>
      <c r="G100" s="20"/>
      <c r="H100" s="17"/>
    </row>
    <row r="101" ht="15.75" customHeight="1">
      <c r="A101" s="19"/>
      <c r="B101" s="20"/>
      <c r="C101" s="20"/>
      <c r="D101" s="20"/>
      <c r="E101" s="20"/>
      <c r="F101" s="20"/>
      <c r="G101" s="20"/>
      <c r="H101" s="17"/>
    </row>
    <row r="102" ht="15.75" customHeight="1">
      <c r="A102" s="19"/>
      <c r="B102" s="20"/>
      <c r="C102" s="20"/>
      <c r="D102" s="20"/>
      <c r="E102" s="20"/>
      <c r="F102" s="20"/>
      <c r="G102" s="20"/>
      <c r="H102" s="17"/>
    </row>
    <row r="103" ht="15.75" customHeight="1">
      <c r="A103" s="19"/>
      <c r="B103" s="20"/>
      <c r="C103" s="20"/>
      <c r="D103" s="20"/>
      <c r="E103" s="20"/>
      <c r="F103" s="20"/>
      <c r="G103" s="20"/>
      <c r="H103" s="17"/>
    </row>
    <row r="104" ht="15.75" customHeight="1">
      <c r="A104" s="19"/>
      <c r="B104" s="20"/>
      <c r="C104" s="20"/>
      <c r="D104" s="20"/>
      <c r="E104" s="20"/>
      <c r="F104" s="20"/>
      <c r="G104" s="20"/>
      <c r="H104" s="17"/>
    </row>
    <row r="105" ht="15.75" customHeight="1">
      <c r="A105" s="19"/>
      <c r="B105" s="20"/>
      <c r="C105" s="20"/>
      <c r="D105" s="20"/>
      <c r="E105" s="20"/>
      <c r="F105" s="20"/>
      <c r="G105" s="20"/>
      <c r="H105" s="17"/>
    </row>
    <row r="106" ht="15.75" customHeight="1">
      <c r="A106" s="19"/>
      <c r="B106" s="20"/>
      <c r="C106" s="20"/>
      <c r="D106" s="20"/>
      <c r="E106" s="20"/>
      <c r="F106" s="20"/>
      <c r="G106" s="20"/>
      <c r="H106" s="17"/>
    </row>
    <row r="107" ht="15.75" customHeight="1">
      <c r="A107" s="19"/>
      <c r="B107" s="20"/>
      <c r="C107" s="20"/>
      <c r="D107" s="20"/>
      <c r="E107" s="20"/>
      <c r="F107" s="20"/>
      <c r="G107" s="20"/>
      <c r="H107" s="17"/>
    </row>
    <row r="108" ht="15.75" customHeight="1">
      <c r="A108" s="19"/>
      <c r="B108" s="20"/>
      <c r="C108" s="20"/>
      <c r="D108" s="20"/>
      <c r="E108" s="20"/>
      <c r="F108" s="20"/>
      <c r="G108" s="20"/>
      <c r="H108" s="17"/>
    </row>
    <row r="109" ht="15.75" customHeight="1">
      <c r="A109" s="19"/>
      <c r="B109" s="20"/>
      <c r="C109" s="20"/>
      <c r="D109" s="20"/>
      <c r="E109" s="20"/>
      <c r="F109" s="20"/>
      <c r="G109" s="20"/>
      <c r="H109" s="17"/>
    </row>
    <row r="110" ht="15.75" customHeight="1">
      <c r="A110" s="19"/>
      <c r="B110" s="20"/>
      <c r="C110" s="20"/>
      <c r="D110" s="20"/>
      <c r="E110" s="20"/>
      <c r="F110" s="20"/>
      <c r="G110" s="20"/>
      <c r="H110" s="17"/>
    </row>
    <row r="111" ht="15.75" customHeight="1">
      <c r="A111" s="19"/>
      <c r="B111" s="20"/>
      <c r="C111" s="20"/>
      <c r="D111" s="20"/>
      <c r="E111" s="20"/>
      <c r="F111" s="20"/>
      <c r="G111" s="20"/>
      <c r="H111" s="17"/>
    </row>
    <row r="112" ht="15.75" customHeight="1">
      <c r="A112" s="19"/>
      <c r="B112" s="20"/>
      <c r="C112" s="20"/>
      <c r="D112" s="20"/>
      <c r="E112" s="20"/>
      <c r="F112" s="20"/>
      <c r="G112" s="20"/>
      <c r="H112" s="17"/>
    </row>
    <row r="113" ht="15.75" customHeight="1">
      <c r="A113" s="19"/>
      <c r="B113" s="20"/>
      <c r="C113" s="20"/>
      <c r="D113" s="20"/>
      <c r="E113" s="20"/>
      <c r="F113" s="20"/>
      <c r="G113" s="20"/>
      <c r="H113" s="17"/>
    </row>
    <row r="114" ht="15.75" customHeight="1">
      <c r="A114" s="19"/>
      <c r="B114" s="20"/>
      <c r="C114" s="20"/>
      <c r="D114" s="20"/>
      <c r="E114" s="20"/>
      <c r="F114" s="20"/>
      <c r="G114" s="20"/>
      <c r="H114" s="17"/>
    </row>
    <row r="115" ht="15.75" customHeight="1">
      <c r="A115" s="19"/>
      <c r="B115" s="20"/>
      <c r="C115" s="20"/>
      <c r="D115" s="20"/>
      <c r="E115" s="20"/>
      <c r="F115" s="20"/>
      <c r="G115" s="20"/>
      <c r="H115" s="17"/>
    </row>
    <row r="116" ht="15.75" customHeight="1">
      <c r="A116" s="19"/>
      <c r="B116" s="20"/>
      <c r="C116" s="20"/>
      <c r="D116" s="20"/>
      <c r="E116" s="20"/>
      <c r="F116" s="20"/>
      <c r="G116" s="20"/>
      <c r="H116" s="17"/>
    </row>
    <row r="117" ht="15.75" customHeight="1">
      <c r="A117" s="19"/>
      <c r="B117" s="20"/>
      <c r="C117" s="20"/>
      <c r="D117" s="20"/>
      <c r="E117" s="20"/>
      <c r="F117" s="20"/>
      <c r="G117" s="20"/>
      <c r="H117" s="17"/>
    </row>
    <row r="118" ht="15.75" customHeight="1">
      <c r="A118" s="19"/>
      <c r="B118" s="20"/>
      <c r="C118" s="20"/>
      <c r="D118" s="20"/>
      <c r="E118" s="20"/>
      <c r="F118" s="20"/>
      <c r="G118" s="20"/>
      <c r="H118" s="17"/>
    </row>
    <row r="119" ht="15.75" customHeight="1">
      <c r="A119" s="19"/>
      <c r="B119" s="20"/>
      <c r="C119" s="20"/>
      <c r="D119" s="20"/>
      <c r="E119" s="20"/>
      <c r="F119" s="20"/>
      <c r="G119" s="20"/>
      <c r="H119" s="17"/>
    </row>
    <row r="120" ht="15.75" customHeight="1">
      <c r="A120" s="19"/>
      <c r="B120" s="20"/>
      <c r="C120" s="20"/>
      <c r="D120" s="20"/>
      <c r="E120" s="20"/>
      <c r="F120" s="20"/>
      <c r="G120" s="20"/>
      <c r="H120" s="17"/>
    </row>
    <row r="121" ht="15.75" customHeight="1">
      <c r="A121" s="19"/>
      <c r="B121" s="20"/>
      <c r="C121" s="20"/>
      <c r="D121" s="20"/>
      <c r="E121" s="20"/>
      <c r="F121" s="20"/>
      <c r="G121" s="20"/>
      <c r="H121" s="17"/>
    </row>
    <row r="122" ht="15.75" customHeight="1">
      <c r="A122" s="19"/>
      <c r="B122" s="20"/>
      <c r="C122" s="20"/>
      <c r="D122" s="20"/>
      <c r="E122" s="20"/>
      <c r="F122" s="20"/>
      <c r="G122" s="20"/>
      <c r="H122" s="17"/>
    </row>
    <row r="123" ht="15.75" customHeight="1">
      <c r="A123" s="19"/>
      <c r="B123" s="20"/>
      <c r="C123" s="20"/>
      <c r="D123" s="20"/>
      <c r="E123" s="20"/>
      <c r="F123" s="20"/>
      <c r="G123" s="20"/>
      <c r="H123" s="17"/>
    </row>
    <row r="124" ht="15.75" customHeight="1">
      <c r="A124" s="19"/>
      <c r="B124" s="20"/>
      <c r="C124" s="20"/>
      <c r="D124" s="20"/>
      <c r="E124" s="20"/>
      <c r="F124" s="20"/>
      <c r="G124" s="20"/>
      <c r="H124" s="17"/>
    </row>
    <row r="125" ht="15.75" customHeight="1">
      <c r="A125" s="19"/>
      <c r="B125" s="20"/>
      <c r="C125" s="20"/>
      <c r="D125" s="20"/>
      <c r="E125" s="20"/>
      <c r="F125" s="20"/>
      <c r="G125" s="20"/>
      <c r="H125" s="17"/>
    </row>
    <row r="126" ht="15.75" customHeight="1">
      <c r="A126" s="19"/>
      <c r="B126" s="20"/>
      <c r="C126" s="20"/>
      <c r="D126" s="20"/>
      <c r="E126" s="20"/>
      <c r="F126" s="20"/>
      <c r="G126" s="20"/>
      <c r="H126" s="17"/>
    </row>
    <row r="127" ht="15.75" customHeight="1">
      <c r="A127" s="19"/>
      <c r="B127" s="20"/>
      <c r="C127" s="20"/>
      <c r="D127" s="20"/>
      <c r="E127" s="20"/>
      <c r="F127" s="20"/>
      <c r="G127" s="20"/>
      <c r="H127" s="17"/>
    </row>
    <row r="128" ht="15.75" customHeight="1">
      <c r="A128" s="19"/>
      <c r="B128" s="20"/>
      <c r="C128" s="20"/>
      <c r="D128" s="20"/>
      <c r="E128" s="20"/>
      <c r="F128" s="20"/>
      <c r="G128" s="20"/>
      <c r="H128" s="17"/>
    </row>
    <row r="129" ht="15.75" customHeight="1">
      <c r="A129" s="19"/>
      <c r="B129" s="20"/>
      <c r="C129" s="20"/>
      <c r="D129" s="20"/>
      <c r="E129" s="20"/>
      <c r="F129" s="20"/>
      <c r="G129" s="20"/>
      <c r="H129" s="17"/>
    </row>
    <row r="130" ht="15.75" customHeight="1">
      <c r="A130" s="19"/>
      <c r="B130" s="20"/>
      <c r="C130" s="20"/>
      <c r="D130" s="20"/>
      <c r="E130" s="20"/>
      <c r="F130" s="20"/>
      <c r="G130" s="20"/>
      <c r="H130" s="17"/>
    </row>
    <row r="131" ht="15.75" customHeight="1">
      <c r="A131" s="19"/>
      <c r="B131" s="20"/>
      <c r="C131" s="20"/>
      <c r="D131" s="20"/>
      <c r="E131" s="20"/>
      <c r="F131" s="20"/>
      <c r="G131" s="20"/>
      <c r="H131" s="17"/>
    </row>
    <row r="132" ht="15.75" customHeight="1">
      <c r="A132" s="19"/>
      <c r="B132" s="20"/>
      <c r="C132" s="20"/>
      <c r="D132" s="20"/>
      <c r="E132" s="20"/>
      <c r="F132" s="20"/>
      <c r="G132" s="20"/>
      <c r="H132" s="17"/>
    </row>
    <row r="133" ht="15.75" customHeight="1">
      <c r="A133" s="19"/>
      <c r="B133" s="20"/>
      <c r="C133" s="20"/>
      <c r="D133" s="20"/>
      <c r="E133" s="20"/>
      <c r="F133" s="20"/>
      <c r="G133" s="20"/>
      <c r="H133" s="17"/>
    </row>
    <row r="134" ht="15.75" customHeight="1">
      <c r="A134" s="19"/>
      <c r="B134" s="20"/>
      <c r="C134" s="20"/>
      <c r="D134" s="20"/>
      <c r="E134" s="20"/>
      <c r="F134" s="20"/>
      <c r="G134" s="20"/>
      <c r="H134" s="17"/>
    </row>
    <row r="135" ht="15.75" customHeight="1">
      <c r="A135" s="19"/>
      <c r="B135" s="20"/>
      <c r="C135" s="20"/>
      <c r="D135" s="20"/>
      <c r="E135" s="20"/>
      <c r="F135" s="20"/>
      <c r="G135" s="20"/>
      <c r="H135" s="17"/>
    </row>
    <row r="136" ht="15.75" customHeight="1">
      <c r="A136" s="19"/>
      <c r="B136" s="20"/>
      <c r="C136" s="20"/>
      <c r="D136" s="20"/>
      <c r="E136" s="20"/>
      <c r="F136" s="20"/>
      <c r="G136" s="20"/>
      <c r="H136" s="17"/>
    </row>
    <row r="137" ht="15.75" customHeight="1">
      <c r="A137" s="19"/>
      <c r="B137" s="20"/>
      <c r="C137" s="20"/>
      <c r="D137" s="20"/>
      <c r="E137" s="20"/>
      <c r="F137" s="20"/>
      <c r="G137" s="20"/>
      <c r="H137" s="17"/>
    </row>
    <row r="138" ht="15.75" customHeight="1">
      <c r="A138" s="19"/>
      <c r="B138" s="20"/>
      <c r="C138" s="20"/>
      <c r="D138" s="20"/>
      <c r="E138" s="20"/>
      <c r="F138" s="20"/>
      <c r="G138" s="20"/>
      <c r="H138" s="17"/>
    </row>
    <row r="139" ht="15.75" customHeight="1">
      <c r="A139" s="19"/>
      <c r="B139" s="20"/>
      <c r="C139" s="20"/>
      <c r="D139" s="20"/>
      <c r="E139" s="20"/>
      <c r="F139" s="20"/>
      <c r="G139" s="20"/>
      <c r="H139" s="17"/>
    </row>
    <row r="140" ht="15.75" customHeight="1">
      <c r="A140" s="19"/>
      <c r="B140" s="20"/>
      <c r="C140" s="20"/>
      <c r="D140" s="20"/>
      <c r="E140" s="20"/>
      <c r="F140" s="20"/>
      <c r="G140" s="20"/>
      <c r="H140" s="17"/>
    </row>
    <row r="141" ht="15.75" customHeight="1">
      <c r="A141" s="19"/>
      <c r="B141" s="20"/>
      <c r="C141" s="20"/>
      <c r="D141" s="20"/>
      <c r="E141" s="20"/>
      <c r="F141" s="20"/>
      <c r="G141" s="20"/>
      <c r="H141" s="17"/>
    </row>
    <row r="142" ht="15.75" customHeight="1">
      <c r="A142" s="19"/>
      <c r="B142" s="20"/>
      <c r="C142" s="20"/>
      <c r="D142" s="20"/>
      <c r="E142" s="20"/>
      <c r="F142" s="20"/>
      <c r="G142" s="20"/>
      <c r="H142" s="17"/>
    </row>
    <row r="143" ht="15.75" customHeight="1">
      <c r="A143" s="19"/>
      <c r="B143" s="20"/>
      <c r="C143" s="20"/>
      <c r="D143" s="20"/>
      <c r="E143" s="20"/>
      <c r="F143" s="20"/>
      <c r="G143" s="20"/>
      <c r="H143" s="17"/>
    </row>
    <row r="144" ht="15.75" customHeight="1">
      <c r="A144" s="19"/>
      <c r="B144" s="20"/>
      <c r="C144" s="20"/>
      <c r="D144" s="20"/>
      <c r="E144" s="20"/>
      <c r="F144" s="20"/>
      <c r="G144" s="20"/>
      <c r="H144" s="17"/>
    </row>
    <row r="145" ht="15.75" customHeight="1">
      <c r="A145" s="19"/>
      <c r="B145" s="20"/>
      <c r="C145" s="20"/>
      <c r="D145" s="20"/>
      <c r="E145" s="20"/>
      <c r="F145" s="20"/>
      <c r="G145" s="20"/>
      <c r="H145" s="17"/>
    </row>
    <row r="146" ht="15.75" customHeight="1">
      <c r="A146" s="19"/>
      <c r="B146" s="20"/>
      <c r="C146" s="20"/>
      <c r="D146" s="20"/>
      <c r="E146" s="20"/>
      <c r="F146" s="20"/>
      <c r="G146" s="20"/>
      <c r="H146" s="17"/>
    </row>
    <row r="147" ht="15.75" customHeight="1">
      <c r="A147" s="19"/>
      <c r="B147" s="20"/>
      <c r="C147" s="20"/>
      <c r="D147" s="20"/>
      <c r="E147" s="20"/>
      <c r="F147" s="20"/>
      <c r="G147" s="20"/>
      <c r="H147" s="17"/>
    </row>
    <row r="148" ht="15.75" customHeight="1">
      <c r="A148" s="19"/>
      <c r="B148" s="20"/>
      <c r="C148" s="20"/>
      <c r="D148" s="20"/>
      <c r="E148" s="20"/>
      <c r="F148" s="20"/>
      <c r="G148" s="20"/>
      <c r="H148" s="17"/>
    </row>
    <row r="149" ht="15.75" customHeight="1">
      <c r="A149" s="19"/>
      <c r="B149" s="20"/>
      <c r="C149" s="20"/>
      <c r="D149" s="20"/>
      <c r="E149" s="20"/>
      <c r="F149" s="20"/>
      <c r="G149" s="20"/>
      <c r="H149" s="17"/>
    </row>
    <row r="150" ht="15.75" customHeight="1">
      <c r="A150" s="19"/>
      <c r="B150" s="20"/>
      <c r="C150" s="20"/>
      <c r="D150" s="20"/>
      <c r="E150" s="20"/>
      <c r="F150" s="20"/>
      <c r="G150" s="20"/>
      <c r="H150" s="17"/>
    </row>
    <row r="151" ht="15.75" customHeight="1">
      <c r="A151" s="19"/>
      <c r="B151" s="20"/>
      <c r="C151" s="20"/>
      <c r="D151" s="20"/>
      <c r="E151" s="20"/>
      <c r="F151" s="20"/>
      <c r="G151" s="20"/>
      <c r="H151" s="17"/>
    </row>
    <row r="152" ht="15.75" customHeight="1">
      <c r="A152" s="19"/>
      <c r="B152" s="20"/>
      <c r="C152" s="20"/>
      <c r="D152" s="20"/>
      <c r="E152" s="20"/>
      <c r="F152" s="20"/>
      <c r="G152" s="20"/>
      <c r="H152" s="17"/>
    </row>
    <row r="153" ht="15.75" customHeight="1">
      <c r="A153" s="19"/>
      <c r="B153" s="20"/>
      <c r="C153" s="20"/>
      <c r="D153" s="20"/>
      <c r="E153" s="20"/>
      <c r="F153" s="20"/>
      <c r="G153" s="20"/>
      <c r="H153" s="17"/>
    </row>
    <row r="154" ht="15.75" customHeight="1">
      <c r="A154" s="19"/>
      <c r="B154" s="20"/>
      <c r="C154" s="20"/>
      <c r="D154" s="20"/>
      <c r="E154" s="20"/>
      <c r="F154" s="20"/>
      <c r="G154" s="20"/>
      <c r="H154" s="17"/>
    </row>
    <row r="155" ht="15.75" customHeight="1">
      <c r="A155" s="19"/>
      <c r="B155" s="20"/>
      <c r="C155" s="20"/>
      <c r="D155" s="20"/>
      <c r="E155" s="20"/>
      <c r="F155" s="20"/>
      <c r="G155" s="20"/>
      <c r="H155" s="17"/>
    </row>
    <row r="156" ht="15.75" customHeight="1">
      <c r="A156" s="19"/>
      <c r="B156" s="20"/>
      <c r="C156" s="20"/>
      <c r="D156" s="20"/>
      <c r="E156" s="20"/>
      <c r="F156" s="20"/>
      <c r="G156" s="20"/>
      <c r="H156" s="17"/>
    </row>
    <row r="157" ht="15.75" customHeight="1">
      <c r="A157" s="19"/>
      <c r="B157" s="20"/>
      <c r="C157" s="20"/>
      <c r="D157" s="20"/>
      <c r="E157" s="20"/>
      <c r="F157" s="20"/>
      <c r="G157" s="20"/>
      <c r="H157" s="17"/>
    </row>
    <row r="158" ht="15.75" customHeight="1">
      <c r="A158" s="19"/>
      <c r="B158" s="20"/>
      <c r="C158" s="20"/>
      <c r="D158" s="20"/>
      <c r="E158" s="20"/>
      <c r="F158" s="20"/>
      <c r="G158" s="20"/>
      <c r="H158" s="17"/>
    </row>
    <row r="159" ht="15.75" customHeight="1">
      <c r="A159" s="19"/>
      <c r="B159" s="20"/>
      <c r="C159" s="20"/>
      <c r="D159" s="20"/>
      <c r="E159" s="20"/>
      <c r="F159" s="20"/>
      <c r="G159" s="20"/>
      <c r="H159" s="17"/>
    </row>
    <row r="160" ht="15.75" customHeight="1">
      <c r="A160" s="19"/>
      <c r="B160" s="20"/>
      <c r="C160" s="20"/>
      <c r="D160" s="20"/>
      <c r="E160" s="20"/>
      <c r="F160" s="20"/>
      <c r="G160" s="20"/>
      <c r="H160" s="17"/>
    </row>
    <row r="161" ht="15.75" customHeight="1">
      <c r="A161" s="19"/>
      <c r="B161" s="20"/>
      <c r="C161" s="20"/>
      <c r="D161" s="20"/>
      <c r="E161" s="20"/>
      <c r="F161" s="20"/>
      <c r="G161" s="20"/>
      <c r="H161" s="17"/>
    </row>
    <row r="162" ht="15.75" customHeight="1">
      <c r="A162" s="19"/>
      <c r="B162" s="20"/>
      <c r="C162" s="20"/>
      <c r="D162" s="20"/>
      <c r="E162" s="20"/>
      <c r="F162" s="20"/>
      <c r="G162" s="20"/>
      <c r="H162" s="17"/>
    </row>
    <row r="163" ht="15.75" customHeight="1">
      <c r="A163" s="19"/>
      <c r="B163" s="20"/>
      <c r="C163" s="20"/>
      <c r="D163" s="20"/>
      <c r="E163" s="20"/>
      <c r="F163" s="20"/>
      <c r="G163" s="20"/>
      <c r="H163" s="17"/>
    </row>
    <row r="164" ht="15.75" customHeight="1">
      <c r="A164" s="19"/>
      <c r="B164" s="20"/>
      <c r="C164" s="20"/>
      <c r="D164" s="20"/>
      <c r="E164" s="20"/>
      <c r="F164" s="20"/>
      <c r="G164" s="20"/>
      <c r="H164" s="17"/>
    </row>
    <row r="165" ht="15.75" customHeight="1">
      <c r="A165" s="19"/>
      <c r="B165" s="20"/>
      <c r="C165" s="20"/>
      <c r="D165" s="20"/>
      <c r="E165" s="20"/>
      <c r="F165" s="20"/>
      <c r="G165" s="20"/>
      <c r="H165" s="17"/>
    </row>
    <row r="166" ht="15.75" customHeight="1">
      <c r="A166" s="19"/>
      <c r="B166" s="20"/>
      <c r="C166" s="20"/>
      <c r="D166" s="20"/>
      <c r="E166" s="20"/>
      <c r="F166" s="20"/>
      <c r="G166" s="20"/>
      <c r="H166" s="17"/>
    </row>
    <row r="167" ht="15.75" customHeight="1">
      <c r="A167" s="19"/>
      <c r="B167" s="20"/>
      <c r="C167" s="20"/>
      <c r="D167" s="20"/>
      <c r="E167" s="20"/>
      <c r="F167" s="20"/>
      <c r="G167" s="20"/>
      <c r="H167" s="17"/>
    </row>
    <row r="168" ht="15.75" customHeight="1">
      <c r="A168" s="19"/>
      <c r="B168" s="20"/>
      <c r="C168" s="20"/>
      <c r="D168" s="20"/>
      <c r="E168" s="20"/>
      <c r="F168" s="20"/>
      <c r="G168" s="20"/>
      <c r="H168" s="17"/>
    </row>
    <row r="169" ht="15.75" customHeight="1">
      <c r="A169" s="19"/>
      <c r="B169" s="20"/>
      <c r="C169" s="20"/>
      <c r="D169" s="20"/>
      <c r="E169" s="20"/>
      <c r="F169" s="20"/>
      <c r="G169" s="20"/>
      <c r="H169" s="17"/>
    </row>
    <row r="170" ht="15.75" customHeight="1">
      <c r="A170" s="19"/>
      <c r="B170" s="20"/>
      <c r="C170" s="20"/>
      <c r="D170" s="20"/>
      <c r="E170" s="20"/>
      <c r="F170" s="20"/>
      <c r="G170" s="20"/>
      <c r="H170" s="17"/>
    </row>
    <row r="171" ht="15.75" customHeight="1">
      <c r="A171" s="19"/>
      <c r="B171" s="20"/>
      <c r="C171" s="20"/>
      <c r="D171" s="20"/>
      <c r="E171" s="20"/>
      <c r="F171" s="20"/>
      <c r="G171" s="20"/>
      <c r="H171" s="17"/>
    </row>
    <row r="172" ht="15.75" customHeight="1">
      <c r="A172" s="19"/>
      <c r="B172" s="20"/>
      <c r="C172" s="20"/>
      <c r="D172" s="20"/>
      <c r="E172" s="20"/>
      <c r="F172" s="20"/>
      <c r="G172" s="20"/>
      <c r="H172" s="17"/>
    </row>
    <row r="173" ht="15.75" customHeight="1">
      <c r="A173" s="19"/>
      <c r="B173" s="20"/>
      <c r="C173" s="20"/>
      <c r="D173" s="20"/>
      <c r="E173" s="20"/>
      <c r="F173" s="20"/>
      <c r="G173" s="20"/>
      <c r="H173" s="17"/>
    </row>
    <row r="174" ht="15.75" customHeight="1">
      <c r="A174" s="19"/>
      <c r="B174" s="20"/>
      <c r="C174" s="20"/>
      <c r="D174" s="20"/>
      <c r="E174" s="20"/>
      <c r="F174" s="20"/>
      <c r="G174" s="20"/>
      <c r="H174" s="17"/>
    </row>
    <row r="175" ht="15.75" customHeight="1">
      <c r="A175" s="19"/>
      <c r="B175" s="20"/>
      <c r="C175" s="20"/>
      <c r="D175" s="20"/>
      <c r="E175" s="20"/>
      <c r="F175" s="20"/>
      <c r="G175" s="20"/>
      <c r="H175" s="17"/>
    </row>
    <row r="176" ht="15.75" customHeight="1">
      <c r="A176" s="19"/>
      <c r="B176" s="20"/>
      <c r="C176" s="20"/>
      <c r="D176" s="20"/>
      <c r="E176" s="20"/>
      <c r="F176" s="20"/>
      <c r="G176" s="20"/>
      <c r="H176" s="17"/>
    </row>
    <row r="177" ht="15.75" customHeight="1">
      <c r="A177" s="19"/>
      <c r="B177" s="20"/>
      <c r="C177" s="20"/>
      <c r="D177" s="20"/>
      <c r="E177" s="20"/>
      <c r="F177" s="20"/>
      <c r="G177" s="20"/>
      <c r="H177" s="17"/>
    </row>
    <row r="178" ht="15.75" customHeight="1">
      <c r="A178" s="19"/>
      <c r="B178" s="20"/>
      <c r="C178" s="20"/>
      <c r="D178" s="20"/>
      <c r="E178" s="20"/>
      <c r="F178" s="20"/>
      <c r="G178" s="20"/>
      <c r="H178" s="17"/>
    </row>
    <row r="179" ht="15.75" customHeight="1">
      <c r="A179" s="19"/>
      <c r="B179" s="20"/>
      <c r="C179" s="20"/>
      <c r="D179" s="20"/>
      <c r="E179" s="20"/>
      <c r="F179" s="20"/>
      <c r="G179" s="20"/>
      <c r="H179" s="17"/>
    </row>
    <row r="180" ht="15.75" customHeight="1">
      <c r="A180" s="19"/>
      <c r="B180" s="20"/>
      <c r="C180" s="20"/>
      <c r="D180" s="20"/>
      <c r="E180" s="20"/>
      <c r="F180" s="20"/>
      <c r="G180" s="20"/>
      <c r="H180" s="17"/>
    </row>
    <row r="181" ht="15.75" customHeight="1">
      <c r="A181" s="19"/>
      <c r="B181" s="20"/>
      <c r="C181" s="20"/>
      <c r="D181" s="20"/>
      <c r="E181" s="20"/>
      <c r="F181" s="20"/>
      <c r="G181" s="20"/>
      <c r="H181" s="17"/>
    </row>
    <row r="182" ht="15.75" customHeight="1">
      <c r="A182" s="19"/>
      <c r="B182" s="20"/>
      <c r="C182" s="20"/>
      <c r="D182" s="20"/>
      <c r="E182" s="20"/>
      <c r="F182" s="20"/>
      <c r="G182" s="20"/>
      <c r="H182" s="17"/>
    </row>
    <row r="183" ht="15.75" customHeight="1">
      <c r="A183" s="19"/>
      <c r="B183" s="20"/>
      <c r="C183" s="20"/>
      <c r="D183" s="20"/>
      <c r="E183" s="20"/>
      <c r="F183" s="20"/>
      <c r="G183" s="20"/>
      <c r="H183" s="17"/>
    </row>
    <row r="184" ht="15.75" customHeight="1">
      <c r="A184" s="19"/>
      <c r="B184" s="20"/>
      <c r="C184" s="20"/>
      <c r="D184" s="20"/>
      <c r="E184" s="20"/>
      <c r="F184" s="20"/>
      <c r="G184" s="20"/>
      <c r="H184" s="17"/>
    </row>
    <row r="185" ht="15.75" customHeight="1">
      <c r="A185" s="19"/>
      <c r="B185" s="20"/>
      <c r="C185" s="20"/>
      <c r="D185" s="20"/>
      <c r="E185" s="20"/>
      <c r="F185" s="20"/>
      <c r="G185" s="20"/>
      <c r="H185" s="17"/>
    </row>
    <row r="186" ht="15.75" customHeight="1">
      <c r="A186" s="19"/>
      <c r="B186" s="20"/>
      <c r="C186" s="20"/>
      <c r="D186" s="20"/>
      <c r="E186" s="20"/>
      <c r="F186" s="20"/>
      <c r="G186" s="20"/>
      <c r="H186" s="17"/>
    </row>
    <row r="187" ht="15.75" customHeight="1">
      <c r="A187" s="19"/>
      <c r="B187" s="20"/>
      <c r="C187" s="20"/>
      <c r="D187" s="20"/>
      <c r="E187" s="20"/>
      <c r="F187" s="20"/>
      <c r="G187" s="20"/>
      <c r="H187" s="17"/>
    </row>
    <row r="188" ht="15.75" customHeight="1">
      <c r="A188" s="19"/>
      <c r="B188" s="20"/>
      <c r="C188" s="20"/>
      <c r="D188" s="20"/>
      <c r="E188" s="20"/>
      <c r="F188" s="20"/>
      <c r="G188" s="20"/>
      <c r="H188" s="17"/>
    </row>
    <row r="189" ht="15.75" customHeight="1">
      <c r="A189" s="19"/>
      <c r="B189" s="20"/>
      <c r="C189" s="20"/>
      <c r="D189" s="20"/>
      <c r="E189" s="20"/>
      <c r="F189" s="20"/>
      <c r="G189" s="20"/>
      <c r="H189" s="17"/>
    </row>
    <row r="190" ht="15.75" customHeight="1">
      <c r="A190" s="19"/>
      <c r="B190" s="20"/>
      <c r="C190" s="20"/>
      <c r="D190" s="20"/>
      <c r="E190" s="20"/>
      <c r="F190" s="20"/>
      <c r="G190" s="20"/>
      <c r="H190" s="17"/>
    </row>
    <row r="191" ht="15.75" customHeight="1">
      <c r="A191" s="19"/>
      <c r="B191" s="20"/>
      <c r="C191" s="20"/>
      <c r="D191" s="20"/>
      <c r="E191" s="20"/>
      <c r="F191" s="20"/>
      <c r="G191" s="20"/>
      <c r="H191" s="17"/>
    </row>
    <row r="192" ht="15.75" customHeight="1">
      <c r="A192" s="19"/>
      <c r="B192" s="20"/>
      <c r="C192" s="20"/>
      <c r="D192" s="20"/>
      <c r="E192" s="20"/>
      <c r="F192" s="20"/>
      <c r="G192" s="20"/>
      <c r="H192" s="17"/>
    </row>
    <row r="193" ht="15.75" customHeight="1">
      <c r="A193" s="19"/>
      <c r="B193" s="20"/>
      <c r="C193" s="20"/>
      <c r="D193" s="20"/>
      <c r="E193" s="20"/>
      <c r="F193" s="20"/>
      <c r="G193" s="20"/>
      <c r="H193" s="17"/>
    </row>
    <row r="194" ht="15.75" customHeight="1">
      <c r="A194" s="19"/>
      <c r="B194" s="20"/>
      <c r="C194" s="20"/>
      <c r="D194" s="20"/>
      <c r="E194" s="20"/>
      <c r="F194" s="20"/>
      <c r="G194" s="20"/>
      <c r="H194" s="17"/>
    </row>
    <row r="195" ht="15.75" customHeight="1">
      <c r="A195" s="19"/>
      <c r="B195" s="20"/>
      <c r="C195" s="20"/>
      <c r="D195" s="20"/>
      <c r="E195" s="20"/>
      <c r="F195" s="20"/>
      <c r="G195" s="20"/>
      <c r="H195" s="17"/>
    </row>
    <row r="196" ht="15.75" customHeight="1">
      <c r="A196" s="19"/>
      <c r="B196" s="20"/>
      <c r="C196" s="20"/>
      <c r="D196" s="20"/>
      <c r="E196" s="20"/>
      <c r="F196" s="20"/>
      <c r="G196" s="20"/>
      <c r="H196" s="17"/>
    </row>
    <row r="197" ht="15.75" customHeight="1">
      <c r="A197" s="19"/>
      <c r="B197" s="20"/>
      <c r="C197" s="20"/>
      <c r="D197" s="20"/>
      <c r="E197" s="20"/>
      <c r="F197" s="20"/>
      <c r="G197" s="20"/>
      <c r="H197" s="17"/>
    </row>
    <row r="198" ht="15.75" customHeight="1">
      <c r="A198" s="19"/>
      <c r="B198" s="20"/>
      <c r="C198" s="20"/>
      <c r="D198" s="20"/>
      <c r="E198" s="20"/>
      <c r="F198" s="20"/>
      <c r="G198" s="20"/>
      <c r="H198" s="17"/>
    </row>
    <row r="199" ht="15.75" customHeight="1">
      <c r="A199" s="19"/>
      <c r="B199" s="20"/>
      <c r="C199" s="20"/>
      <c r="D199" s="20"/>
      <c r="E199" s="20"/>
      <c r="F199" s="20"/>
      <c r="G199" s="20"/>
      <c r="H199" s="17"/>
    </row>
    <row r="200" ht="15.75" customHeight="1">
      <c r="A200" s="19"/>
      <c r="B200" s="20"/>
      <c r="C200" s="20"/>
      <c r="D200" s="20"/>
      <c r="E200" s="20"/>
      <c r="F200" s="20"/>
      <c r="G200" s="20"/>
      <c r="H200" s="17"/>
    </row>
    <row r="201" ht="15.75" customHeight="1">
      <c r="A201" s="19"/>
      <c r="B201" s="20"/>
      <c r="C201" s="20"/>
      <c r="D201" s="20"/>
      <c r="E201" s="20"/>
      <c r="F201" s="20"/>
      <c r="G201" s="20"/>
      <c r="H201" s="17"/>
    </row>
    <row r="202" ht="15.75" customHeight="1">
      <c r="A202" s="19"/>
      <c r="B202" s="20"/>
      <c r="C202" s="20"/>
      <c r="D202" s="20"/>
      <c r="E202" s="20"/>
      <c r="F202" s="20"/>
      <c r="G202" s="20"/>
      <c r="H202" s="17"/>
    </row>
    <row r="203" ht="15.75" customHeight="1">
      <c r="A203" s="19"/>
      <c r="B203" s="20"/>
      <c r="C203" s="20"/>
      <c r="D203" s="20"/>
      <c r="E203" s="20"/>
      <c r="F203" s="20"/>
      <c r="G203" s="20"/>
      <c r="H203" s="17"/>
    </row>
    <row r="204" ht="15.75" customHeight="1">
      <c r="A204" s="19"/>
      <c r="B204" s="20"/>
      <c r="C204" s="20"/>
      <c r="D204" s="20"/>
      <c r="E204" s="20"/>
      <c r="F204" s="20"/>
      <c r="G204" s="20"/>
      <c r="H204" s="17"/>
    </row>
    <row r="205" ht="15.75" customHeight="1">
      <c r="A205" s="19"/>
      <c r="B205" s="20"/>
      <c r="C205" s="20"/>
      <c r="D205" s="20"/>
      <c r="E205" s="20"/>
      <c r="F205" s="20"/>
      <c r="G205" s="20"/>
      <c r="H205" s="17"/>
    </row>
    <row r="206" ht="15.75" customHeight="1">
      <c r="A206" s="19"/>
      <c r="B206" s="20"/>
      <c r="C206" s="20"/>
      <c r="D206" s="20"/>
      <c r="E206" s="20"/>
      <c r="F206" s="20"/>
      <c r="G206" s="20"/>
      <c r="H206" s="17"/>
    </row>
    <row r="207" ht="15.75" customHeight="1">
      <c r="A207" s="19"/>
      <c r="B207" s="20"/>
      <c r="C207" s="20"/>
      <c r="D207" s="20"/>
      <c r="E207" s="20"/>
      <c r="F207" s="20"/>
      <c r="G207" s="20"/>
      <c r="H207" s="17"/>
    </row>
    <row r="208" ht="15.75" customHeight="1">
      <c r="A208" s="19"/>
      <c r="B208" s="20"/>
      <c r="C208" s="20"/>
      <c r="D208" s="20"/>
      <c r="E208" s="20"/>
      <c r="F208" s="20"/>
      <c r="G208" s="20"/>
      <c r="H208" s="17"/>
    </row>
    <row r="209" ht="15.75" customHeight="1">
      <c r="A209" s="19"/>
      <c r="B209" s="20"/>
      <c r="C209" s="20"/>
      <c r="D209" s="20"/>
      <c r="E209" s="20"/>
      <c r="F209" s="20"/>
      <c r="G209" s="20"/>
      <c r="H209" s="17"/>
    </row>
    <row r="210" ht="15.75" customHeight="1">
      <c r="A210" s="19"/>
      <c r="B210" s="20"/>
      <c r="C210" s="20"/>
      <c r="D210" s="20"/>
      <c r="E210" s="20"/>
      <c r="F210" s="20"/>
      <c r="G210" s="20"/>
      <c r="H210" s="17"/>
    </row>
    <row r="211" ht="15.75" customHeight="1">
      <c r="A211" s="19"/>
      <c r="B211" s="20"/>
      <c r="C211" s="20"/>
      <c r="D211" s="20"/>
      <c r="E211" s="20"/>
      <c r="F211" s="20"/>
      <c r="G211" s="20"/>
      <c r="H211" s="17"/>
    </row>
    <row r="212" ht="15.75" customHeight="1">
      <c r="A212" s="19"/>
      <c r="B212" s="20"/>
      <c r="C212" s="20"/>
      <c r="D212" s="20"/>
      <c r="E212" s="20"/>
      <c r="F212" s="20"/>
      <c r="G212" s="20"/>
      <c r="H212" s="17"/>
    </row>
    <row r="213" ht="15.75" customHeight="1">
      <c r="A213" s="19"/>
      <c r="B213" s="20"/>
      <c r="C213" s="20"/>
      <c r="D213" s="20"/>
      <c r="E213" s="20"/>
      <c r="F213" s="20"/>
      <c r="G213" s="20"/>
      <c r="H213" s="17"/>
    </row>
    <row r="214" ht="15.75" customHeight="1">
      <c r="A214" s="19"/>
      <c r="B214" s="20"/>
      <c r="C214" s="20"/>
      <c r="D214" s="20"/>
      <c r="E214" s="20"/>
      <c r="F214" s="20"/>
      <c r="G214" s="20"/>
      <c r="H214" s="17"/>
    </row>
    <row r="215" ht="15.75" customHeight="1">
      <c r="A215" s="19"/>
      <c r="B215" s="20"/>
      <c r="C215" s="20"/>
      <c r="D215" s="20"/>
      <c r="E215" s="20"/>
      <c r="F215" s="20"/>
      <c r="G215" s="20"/>
      <c r="H215" s="17"/>
    </row>
    <row r="216" ht="15.75" customHeight="1">
      <c r="A216" s="19"/>
      <c r="B216" s="20"/>
      <c r="C216" s="20"/>
      <c r="D216" s="20"/>
      <c r="E216" s="20"/>
      <c r="F216" s="20"/>
      <c r="G216" s="20"/>
      <c r="H216" s="17"/>
    </row>
    <row r="217" ht="15.75" customHeight="1">
      <c r="A217" s="19"/>
      <c r="B217" s="20"/>
      <c r="C217" s="20"/>
      <c r="D217" s="20"/>
      <c r="E217" s="20"/>
      <c r="F217" s="20"/>
      <c r="G217" s="20"/>
      <c r="H217" s="17"/>
    </row>
    <row r="218" ht="15.75" customHeight="1">
      <c r="A218" s="19"/>
      <c r="B218" s="20"/>
      <c r="C218" s="20"/>
      <c r="D218" s="20"/>
      <c r="E218" s="20"/>
      <c r="F218" s="20"/>
      <c r="G218" s="20"/>
      <c r="H218" s="17"/>
    </row>
    <row r="219" ht="15.75" customHeight="1">
      <c r="A219" s="19"/>
      <c r="B219" s="20"/>
      <c r="C219" s="20"/>
      <c r="D219" s="20"/>
      <c r="E219" s="20"/>
      <c r="F219" s="20"/>
      <c r="G219" s="20"/>
      <c r="H219" s="17"/>
    </row>
    <row r="220" ht="15.75" customHeight="1">
      <c r="A220" s="19"/>
      <c r="B220" s="20"/>
      <c r="C220" s="20"/>
      <c r="D220" s="20"/>
      <c r="E220" s="20"/>
      <c r="F220" s="20"/>
      <c r="G220" s="20"/>
      <c r="H220" s="17"/>
    </row>
    <row r="221" ht="15.75" customHeight="1">
      <c r="B221" s="27"/>
      <c r="C221" s="27"/>
      <c r="D221" s="27"/>
    </row>
    <row r="222" ht="15.75" customHeight="1">
      <c r="B222" s="27"/>
      <c r="C222" s="27"/>
      <c r="D222" s="27"/>
    </row>
    <row r="223" ht="15.75" customHeight="1">
      <c r="B223" s="27"/>
      <c r="C223" s="27"/>
      <c r="D223" s="27"/>
    </row>
    <row r="224" ht="15.75" customHeight="1">
      <c r="B224" s="27"/>
      <c r="C224" s="27"/>
      <c r="D224" s="27"/>
    </row>
    <row r="225" ht="15.75" customHeight="1">
      <c r="B225" s="27"/>
      <c r="C225" s="27"/>
      <c r="D225" s="27"/>
    </row>
    <row r="226" ht="15.75" customHeight="1">
      <c r="B226" s="27"/>
      <c r="C226" s="27"/>
      <c r="D226" s="27"/>
    </row>
    <row r="227" ht="15.75" customHeight="1">
      <c r="B227" s="27"/>
      <c r="C227" s="27"/>
      <c r="D227" s="27"/>
    </row>
    <row r="228" ht="15.75" customHeight="1">
      <c r="B228" s="27"/>
      <c r="C228" s="27"/>
      <c r="D228" s="27"/>
    </row>
    <row r="229" ht="15.75" customHeight="1">
      <c r="B229" s="27"/>
      <c r="C229" s="27"/>
      <c r="D229" s="27"/>
    </row>
    <row r="230" ht="15.75" customHeight="1">
      <c r="B230" s="27"/>
      <c r="C230" s="27"/>
      <c r="D230" s="27"/>
    </row>
    <row r="231" ht="15.75" customHeight="1">
      <c r="B231" s="27"/>
      <c r="C231" s="27"/>
      <c r="D231" s="27"/>
    </row>
    <row r="232" ht="15.75" customHeight="1">
      <c r="B232" s="27"/>
      <c r="C232" s="27"/>
      <c r="D232" s="27"/>
    </row>
    <row r="233" ht="15.75" customHeight="1">
      <c r="B233" s="27"/>
      <c r="C233" s="27"/>
      <c r="D233" s="27"/>
    </row>
    <row r="234" ht="15.75" customHeight="1">
      <c r="B234" s="27"/>
      <c r="C234" s="27"/>
      <c r="D234" s="27"/>
    </row>
    <row r="235" ht="15.75" customHeight="1">
      <c r="B235" s="27"/>
      <c r="C235" s="27"/>
      <c r="D235" s="27"/>
    </row>
    <row r="236" ht="15.75" customHeight="1">
      <c r="B236" s="27"/>
      <c r="C236" s="27"/>
      <c r="D236" s="27"/>
    </row>
    <row r="237" ht="15.75" customHeight="1">
      <c r="B237" s="27"/>
      <c r="C237" s="27"/>
      <c r="D237" s="27"/>
    </row>
    <row r="238" ht="15.75" customHeight="1">
      <c r="B238" s="27"/>
      <c r="C238" s="27"/>
      <c r="D238" s="27"/>
    </row>
    <row r="239" ht="15.75" customHeight="1">
      <c r="B239" s="27"/>
      <c r="C239" s="27"/>
      <c r="D239" s="27"/>
    </row>
    <row r="240" ht="15.75" customHeight="1">
      <c r="B240" s="27"/>
      <c r="C240" s="27"/>
      <c r="D240" s="27"/>
    </row>
    <row r="241" ht="15.75" customHeight="1">
      <c r="B241" s="27"/>
      <c r="C241" s="27"/>
      <c r="D241" s="27"/>
    </row>
    <row r="242" ht="15.75" customHeight="1">
      <c r="B242" s="27"/>
      <c r="C242" s="27"/>
      <c r="D242" s="27"/>
    </row>
    <row r="243" ht="15.75" customHeight="1">
      <c r="B243" s="27"/>
      <c r="C243" s="27"/>
      <c r="D243" s="27"/>
    </row>
    <row r="244" ht="15.75" customHeight="1">
      <c r="B244" s="27"/>
      <c r="C244" s="27"/>
      <c r="D244" s="27"/>
    </row>
    <row r="245" ht="15.75" customHeight="1">
      <c r="B245" s="27"/>
      <c r="C245" s="27"/>
      <c r="D245" s="27"/>
    </row>
    <row r="246" ht="15.75" customHeight="1">
      <c r="B246" s="27"/>
      <c r="C246" s="27"/>
      <c r="D246" s="27"/>
    </row>
    <row r="247" ht="15.75" customHeight="1">
      <c r="B247" s="27"/>
      <c r="C247" s="27"/>
      <c r="D247" s="27"/>
    </row>
    <row r="248" ht="15.75" customHeight="1">
      <c r="B248" s="27"/>
      <c r="C248" s="27"/>
      <c r="D248" s="27"/>
    </row>
    <row r="249" ht="15.75" customHeight="1">
      <c r="B249" s="27"/>
      <c r="C249" s="27"/>
      <c r="D249" s="27"/>
    </row>
    <row r="250" ht="15.75" customHeight="1">
      <c r="B250" s="27"/>
      <c r="C250" s="27"/>
      <c r="D250" s="27"/>
    </row>
    <row r="251" ht="15.75" customHeight="1">
      <c r="B251" s="27"/>
      <c r="C251" s="27"/>
      <c r="D251" s="27"/>
    </row>
    <row r="252" ht="15.75" customHeight="1">
      <c r="B252" s="27"/>
      <c r="C252" s="27"/>
      <c r="D252" s="27"/>
    </row>
    <row r="253" ht="15.75" customHeight="1">
      <c r="B253" s="27"/>
      <c r="C253" s="27"/>
      <c r="D253" s="27"/>
    </row>
    <row r="254" ht="15.75" customHeight="1">
      <c r="B254" s="27"/>
      <c r="C254" s="27"/>
      <c r="D254" s="27"/>
    </row>
    <row r="255" ht="15.75" customHeight="1">
      <c r="B255" s="27"/>
      <c r="C255" s="27"/>
      <c r="D255" s="27"/>
    </row>
    <row r="256" ht="15.75" customHeight="1">
      <c r="B256" s="27"/>
      <c r="C256" s="27"/>
      <c r="D256" s="27"/>
    </row>
    <row r="257" ht="15.75" customHeight="1">
      <c r="B257" s="27"/>
      <c r="C257" s="27"/>
      <c r="D257" s="27"/>
    </row>
    <row r="258" ht="15.75" customHeight="1">
      <c r="B258" s="27"/>
      <c r="C258" s="27"/>
      <c r="D258" s="27"/>
    </row>
    <row r="259" ht="15.75" customHeight="1">
      <c r="B259" s="27"/>
      <c r="C259" s="27"/>
      <c r="D259" s="27"/>
    </row>
    <row r="260" ht="15.75" customHeight="1">
      <c r="B260" s="27"/>
      <c r="C260" s="27"/>
      <c r="D260" s="27"/>
    </row>
    <row r="261" ht="15.75" customHeight="1">
      <c r="B261" s="27"/>
      <c r="C261" s="27"/>
      <c r="D261" s="27"/>
    </row>
    <row r="262" ht="15.75" customHeight="1">
      <c r="B262" s="27"/>
      <c r="C262" s="27"/>
      <c r="D262" s="27"/>
    </row>
    <row r="263" ht="15.75" customHeight="1">
      <c r="B263" s="27"/>
      <c r="C263" s="27"/>
      <c r="D263" s="27"/>
    </row>
    <row r="264" ht="15.75" customHeight="1">
      <c r="B264" s="27"/>
      <c r="C264" s="27"/>
      <c r="D264" s="27"/>
    </row>
    <row r="265" ht="15.75" customHeight="1">
      <c r="B265" s="27"/>
      <c r="C265" s="27"/>
      <c r="D265" s="27"/>
    </row>
    <row r="266" ht="15.75" customHeight="1">
      <c r="B266" s="27"/>
      <c r="C266" s="27"/>
      <c r="D266" s="27"/>
    </row>
    <row r="267" ht="15.75" customHeight="1">
      <c r="B267" s="27"/>
      <c r="C267" s="27"/>
      <c r="D267" s="27"/>
    </row>
    <row r="268" ht="15.75" customHeight="1">
      <c r="B268" s="27"/>
      <c r="C268" s="27"/>
      <c r="D268" s="27"/>
    </row>
    <row r="269" ht="15.75" customHeight="1">
      <c r="B269" s="27"/>
      <c r="C269" s="27"/>
      <c r="D269" s="27"/>
    </row>
    <row r="270" ht="15.75" customHeight="1">
      <c r="B270" s="27"/>
      <c r="C270" s="27"/>
      <c r="D270" s="27"/>
    </row>
    <row r="271" ht="15.75" customHeight="1">
      <c r="B271" s="27"/>
      <c r="C271" s="27"/>
      <c r="D271" s="27"/>
    </row>
    <row r="272" ht="15.75" customHeight="1">
      <c r="B272" s="27"/>
      <c r="C272" s="27"/>
      <c r="D272" s="27"/>
    </row>
    <row r="273" ht="15.75" customHeight="1">
      <c r="B273" s="27"/>
      <c r="C273" s="27"/>
      <c r="D273" s="27"/>
    </row>
    <row r="274" ht="15.75" customHeight="1">
      <c r="B274" s="27"/>
      <c r="C274" s="27"/>
      <c r="D274" s="27"/>
    </row>
    <row r="275" ht="15.75" customHeight="1">
      <c r="B275" s="27"/>
      <c r="C275" s="27"/>
      <c r="D275" s="27"/>
    </row>
    <row r="276" ht="15.75" customHeight="1">
      <c r="B276" s="27"/>
      <c r="C276" s="27"/>
      <c r="D276" s="27"/>
    </row>
    <row r="277" ht="15.75" customHeight="1">
      <c r="B277" s="27"/>
      <c r="C277" s="27"/>
      <c r="D277" s="27"/>
    </row>
    <row r="278" ht="15.75" customHeight="1">
      <c r="B278" s="27"/>
      <c r="C278" s="27"/>
      <c r="D278" s="27"/>
    </row>
    <row r="279" ht="15.75" customHeight="1">
      <c r="B279" s="27"/>
      <c r="C279" s="27"/>
      <c r="D279" s="27"/>
    </row>
    <row r="280" ht="15.75" customHeight="1">
      <c r="B280" s="27"/>
      <c r="C280" s="27"/>
      <c r="D280" s="27"/>
    </row>
    <row r="281" ht="15.75" customHeight="1">
      <c r="B281" s="27"/>
      <c r="C281" s="27"/>
      <c r="D281" s="27"/>
    </row>
    <row r="282" ht="15.75" customHeight="1">
      <c r="B282" s="27"/>
      <c r="C282" s="27"/>
      <c r="D282" s="27"/>
    </row>
    <row r="283" ht="15.75" customHeight="1">
      <c r="B283" s="27"/>
      <c r="C283" s="27"/>
      <c r="D283" s="27"/>
    </row>
    <row r="284" ht="15.75" customHeight="1">
      <c r="B284" s="27"/>
      <c r="C284" s="27"/>
      <c r="D284" s="27"/>
    </row>
    <row r="285" ht="15.75" customHeight="1">
      <c r="B285" s="27"/>
      <c r="C285" s="27"/>
      <c r="D285" s="27"/>
    </row>
    <row r="286" ht="15.75" customHeight="1">
      <c r="B286" s="27"/>
      <c r="C286" s="27"/>
      <c r="D286" s="27"/>
    </row>
    <row r="287" ht="15.75" customHeight="1">
      <c r="B287" s="27"/>
      <c r="C287" s="27"/>
      <c r="D287" s="27"/>
    </row>
    <row r="288" ht="15.75" customHeight="1">
      <c r="B288" s="27"/>
      <c r="C288" s="27"/>
      <c r="D288" s="27"/>
    </row>
    <row r="289" ht="15.75" customHeight="1">
      <c r="B289" s="27"/>
      <c r="C289" s="27"/>
      <c r="D289" s="27"/>
    </row>
    <row r="290" ht="15.75" customHeight="1">
      <c r="B290" s="27"/>
      <c r="C290" s="27"/>
      <c r="D290" s="27"/>
    </row>
    <row r="291" ht="15.75" customHeight="1">
      <c r="B291" s="27"/>
      <c r="C291" s="27"/>
      <c r="D291" s="27"/>
    </row>
    <row r="292" ht="15.75" customHeight="1">
      <c r="B292" s="27"/>
      <c r="C292" s="27"/>
      <c r="D292" s="27"/>
    </row>
    <row r="293" ht="15.75" customHeight="1">
      <c r="B293" s="27"/>
      <c r="C293" s="27"/>
      <c r="D293" s="27"/>
    </row>
    <row r="294" ht="15.75" customHeight="1">
      <c r="B294" s="27"/>
      <c r="C294" s="27"/>
      <c r="D294" s="27"/>
    </row>
    <row r="295" ht="15.75" customHeight="1">
      <c r="B295" s="27"/>
      <c r="C295" s="27"/>
      <c r="D295" s="27"/>
    </row>
    <row r="296" ht="15.75" customHeight="1">
      <c r="B296" s="27"/>
      <c r="C296" s="27"/>
      <c r="D296" s="27"/>
    </row>
    <row r="297" ht="15.75" customHeight="1">
      <c r="B297" s="27"/>
      <c r="C297" s="27"/>
      <c r="D297" s="27"/>
    </row>
    <row r="298" ht="15.75" customHeight="1">
      <c r="B298" s="27"/>
      <c r="C298" s="27"/>
      <c r="D298" s="27"/>
    </row>
    <row r="299" ht="15.75" customHeight="1">
      <c r="B299" s="27"/>
      <c r="C299" s="27"/>
      <c r="D299" s="27"/>
    </row>
    <row r="300" ht="15.75" customHeight="1">
      <c r="B300" s="27"/>
      <c r="C300" s="27"/>
      <c r="D300" s="27"/>
    </row>
    <row r="301" ht="15.75" customHeight="1">
      <c r="B301" s="27"/>
      <c r="C301" s="27"/>
      <c r="D301" s="27"/>
    </row>
    <row r="302" ht="15.75" customHeight="1">
      <c r="B302" s="27"/>
      <c r="C302" s="27"/>
      <c r="D302" s="27"/>
    </row>
    <row r="303" ht="15.75" customHeight="1">
      <c r="B303" s="27"/>
      <c r="C303" s="27"/>
      <c r="D303" s="27"/>
    </row>
    <row r="304" ht="15.75" customHeight="1">
      <c r="B304" s="27"/>
      <c r="C304" s="27"/>
      <c r="D304" s="27"/>
    </row>
    <row r="305" ht="15.75" customHeight="1">
      <c r="B305" s="27"/>
      <c r="C305" s="27"/>
      <c r="D305" s="27"/>
    </row>
    <row r="306" ht="15.75" customHeight="1">
      <c r="B306" s="27"/>
      <c r="C306" s="27"/>
      <c r="D306" s="27"/>
    </row>
    <row r="307" ht="15.75" customHeight="1">
      <c r="B307" s="27"/>
      <c r="C307" s="27"/>
      <c r="D307" s="27"/>
    </row>
    <row r="308" ht="15.75" customHeight="1">
      <c r="B308" s="27"/>
      <c r="C308" s="27"/>
      <c r="D308" s="27"/>
    </row>
    <row r="309" ht="15.75" customHeight="1">
      <c r="B309" s="27"/>
      <c r="C309" s="27"/>
      <c r="D309" s="27"/>
    </row>
    <row r="310" ht="15.75" customHeight="1">
      <c r="B310" s="27"/>
      <c r="C310" s="27"/>
      <c r="D310" s="27"/>
    </row>
    <row r="311" ht="15.75" customHeight="1">
      <c r="B311" s="27"/>
      <c r="C311" s="27"/>
      <c r="D311" s="27"/>
    </row>
    <row r="312" ht="15.75" customHeight="1">
      <c r="B312" s="27"/>
      <c r="C312" s="27"/>
      <c r="D312" s="27"/>
    </row>
    <row r="313" ht="15.75" customHeight="1">
      <c r="B313" s="27"/>
      <c r="C313" s="27"/>
      <c r="D313" s="27"/>
    </row>
    <row r="314" ht="15.75" customHeight="1">
      <c r="B314" s="27"/>
      <c r="C314" s="27"/>
      <c r="D314" s="27"/>
    </row>
    <row r="315" ht="15.75" customHeight="1">
      <c r="B315" s="27"/>
      <c r="C315" s="27"/>
      <c r="D315" s="27"/>
    </row>
    <row r="316" ht="15.75" customHeight="1">
      <c r="B316" s="27"/>
      <c r="C316" s="27"/>
      <c r="D316" s="27"/>
    </row>
    <row r="317" ht="15.75" customHeight="1">
      <c r="B317" s="27"/>
      <c r="C317" s="27"/>
      <c r="D317" s="27"/>
    </row>
    <row r="318" ht="15.75" customHeight="1">
      <c r="B318" s="27"/>
      <c r="C318" s="27"/>
      <c r="D318" s="27"/>
    </row>
    <row r="319" ht="15.75" customHeight="1">
      <c r="B319" s="27"/>
      <c r="C319" s="27"/>
      <c r="D319" s="27"/>
    </row>
    <row r="320" ht="15.75" customHeight="1">
      <c r="B320" s="27"/>
      <c r="C320" s="27"/>
      <c r="D320" s="27"/>
    </row>
    <row r="321" ht="15.75" customHeight="1">
      <c r="B321" s="27"/>
      <c r="C321" s="27"/>
      <c r="D321" s="27"/>
    </row>
    <row r="322" ht="15.75" customHeight="1">
      <c r="B322" s="27"/>
      <c r="C322" s="27"/>
      <c r="D322" s="27"/>
    </row>
    <row r="323" ht="15.75" customHeight="1">
      <c r="B323" s="27"/>
      <c r="C323" s="27"/>
      <c r="D323" s="27"/>
    </row>
    <row r="324" ht="15.75" customHeight="1">
      <c r="B324" s="27"/>
      <c r="C324" s="27"/>
      <c r="D324" s="27"/>
    </row>
    <row r="325" ht="15.75" customHeight="1">
      <c r="B325" s="27"/>
      <c r="C325" s="27"/>
      <c r="D325" s="27"/>
    </row>
    <row r="326" ht="15.75" customHeight="1">
      <c r="B326" s="27"/>
      <c r="C326" s="27"/>
      <c r="D326" s="27"/>
    </row>
    <row r="327" ht="15.75" customHeight="1">
      <c r="B327" s="27"/>
      <c r="C327" s="27"/>
      <c r="D327" s="27"/>
    </row>
    <row r="328" ht="15.75" customHeight="1">
      <c r="B328" s="27"/>
      <c r="C328" s="27"/>
      <c r="D328" s="27"/>
    </row>
    <row r="329" ht="15.75" customHeight="1">
      <c r="B329" s="27"/>
      <c r="C329" s="27"/>
      <c r="D329" s="27"/>
    </row>
    <row r="330" ht="15.75" customHeight="1">
      <c r="B330" s="27"/>
      <c r="C330" s="27"/>
      <c r="D330" s="27"/>
    </row>
    <row r="331" ht="15.75" customHeight="1">
      <c r="B331" s="27"/>
      <c r="C331" s="27"/>
      <c r="D331" s="27"/>
    </row>
    <row r="332" ht="15.75" customHeight="1">
      <c r="B332" s="27"/>
      <c r="C332" s="27"/>
      <c r="D332" s="27"/>
    </row>
    <row r="333" ht="15.75" customHeight="1">
      <c r="B333" s="27"/>
      <c r="C333" s="27"/>
      <c r="D333" s="27"/>
    </row>
    <row r="334" ht="15.75" customHeight="1">
      <c r="B334" s="27"/>
      <c r="C334" s="27"/>
      <c r="D334" s="27"/>
    </row>
    <row r="335" ht="15.75" customHeight="1">
      <c r="B335" s="27"/>
      <c r="C335" s="27"/>
      <c r="D335" s="27"/>
    </row>
    <row r="336" ht="15.75" customHeight="1">
      <c r="B336" s="27"/>
      <c r="C336" s="27"/>
      <c r="D336" s="27"/>
    </row>
    <row r="337" ht="15.75" customHeight="1">
      <c r="B337" s="27"/>
      <c r="C337" s="27"/>
      <c r="D337" s="27"/>
    </row>
    <row r="338" ht="15.75" customHeight="1">
      <c r="B338" s="27"/>
      <c r="C338" s="27"/>
      <c r="D338" s="27"/>
    </row>
    <row r="339" ht="15.75" customHeight="1">
      <c r="B339" s="27"/>
      <c r="C339" s="27"/>
      <c r="D339" s="27"/>
    </row>
    <row r="340" ht="15.75" customHeight="1">
      <c r="B340" s="27"/>
      <c r="C340" s="27"/>
      <c r="D340" s="27"/>
    </row>
    <row r="341" ht="15.75" customHeight="1">
      <c r="B341" s="27"/>
      <c r="C341" s="27"/>
      <c r="D341" s="27"/>
    </row>
    <row r="342" ht="15.75" customHeight="1">
      <c r="B342" s="27"/>
      <c r="C342" s="27"/>
      <c r="D342" s="27"/>
    </row>
    <row r="343" ht="15.75" customHeight="1">
      <c r="B343" s="27"/>
      <c r="C343" s="27"/>
      <c r="D343" s="27"/>
    </row>
    <row r="344" ht="15.75" customHeight="1">
      <c r="B344" s="27"/>
      <c r="C344" s="27"/>
      <c r="D344" s="27"/>
    </row>
    <row r="345" ht="15.75" customHeight="1">
      <c r="B345" s="27"/>
      <c r="C345" s="27"/>
      <c r="D345" s="27"/>
    </row>
    <row r="346" ht="15.75" customHeight="1">
      <c r="B346" s="27"/>
      <c r="C346" s="27"/>
      <c r="D346" s="27"/>
    </row>
    <row r="347" ht="15.75" customHeight="1">
      <c r="B347" s="27"/>
      <c r="C347" s="27"/>
      <c r="D347" s="27"/>
    </row>
    <row r="348" ht="15.75" customHeight="1">
      <c r="B348" s="27"/>
      <c r="C348" s="27"/>
      <c r="D348" s="27"/>
    </row>
    <row r="349" ht="15.75" customHeight="1">
      <c r="B349" s="27"/>
      <c r="C349" s="27"/>
      <c r="D349" s="27"/>
    </row>
    <row r="350" ht="15.75" customHeight="1">
      <c r="B350" s="27"/>
      <c r="C350" s="27"/>
      <c r="D350" s="27"/>
    </row>
    <row r="351" ht="15.75" customHeight="1">
      <c r="B351" s="27"/>
      <c r="C351" s="27"/>
      <c r="D351" s="27"/>
    </row>
    <row r="352" ht="15.75" customHeight="1">
      <c r="B352" s="27"/>
      <c r="C352" s="27"/>
      <c r="D352" s="27"/>
    </row>
    <row r="353" ht="15.75" customHeight="1">
      <c r="B353" s="27"/>
      <c r="C353" s="27"/>
      <c r="D353" s="27"/>
    </row>
    <row r="354" ht="15.75" customHeight="1">
      <c r="B354" s="27"/>
      <c r="C354" s="27"/>
      <c r="D354" s="27"/>
    </row>
    <row r="355" ht="15.75" customHeight="1">
      <c r="B355" s="27"/>
      <c r="C355" s="27"/>
      <c r="D355" s="27"/>
    </row>
    <row r="356" ht="15.75" customHeight="1">
      <c r="B356" s="27"/>
      <c r="C356" s="27"/>
      <c r="D356" s="27"/>
    </row>
    <row r="357" ht="15.75" customHeight="1">
      <c r="B357" s="27"/>
      <c r="C357" s="27"/>
      <c r="D357" s="27"/>
    </row>
    <row r="358" ht="15.75" customHeight="1">
      <c r="B358" s="27"/>
      <c r="C358" s="27"/>
      <c r="D358" s="27"/>
    </row>
    <row r="359" ht="15.75" customHeight="1">
      <c r="B359" s="27"/>
      <c r="C359" s="27"/>
      <c r="D359" s="27"/>
    </row>
    <row r="360" ht="15.75" customHeight="1">
      <c r="B360" s="27"/>
      <c r="C360" s="27"/>
      <c r="D360" s="27"/>
    </row>
    <row r="361" ht="15.75" customHeight="1">
      <c r="B361" s="27"/>
      <c r="C361" s="27"/>
      <c r="D361" s="27"/>
    </row>
    <row r="362" ht="15.75" customHeight="1">
      <c r="B362" s="27"/>
      <c r="C362" s="27"/>
      <c r="D362" s="27"/>
    </row>
    <row r="363" ht="15.75" customHeight="1">
      <c r="B363" s="27"/>
      <c r="C363" s="27"/>
      <c r="D363" s="27"/>
    </row>
    <row r="364" ht="15.75" customHeight="1">
      <c r="B364" s="27"/>
      <c r="C364" s="27"/>
      <c r="D364" s="27"/>
    </row>
    <row r="365" ht="15.75" customHeight="1">
      <c r="B365" s="27"/>
      <c r="C365" s="27"/>
      <c r="D365" s="27"/>
    </row>
    <row r="366" ht="15.75" customHeight="1">
      <c r="B366" s="27"/>
      <c r="C366" s="27"/>
      <c r="D366" s="27"/>
    </row>
    <row r="367" ht="15.75" customHeight="1">
      <c r="B367" s="27"/>
      <c r="C367" s="27"/>
      <c r="D367" s="27"/>
    </row>
    <row r="368" ht="15.75" customHeight="1">
      <c r="B368" s="27"/>
      <c r="C368" s="27"/>
      <c r="D368" s="27"/>
    </row>
    <row r="369" ht="15.75" customHeight="1">
      <c r="B369" s="27"/>
      <c r="C369" s="27"/>
      <c r="D369" s="27"/>
    </row>
    <row r="370" ht="15.75" customHeight="1">
      <c r="B370" s="27"/>
      <c r="C370" s="27"/>
      <c r="D370" s="27"/>
    </row>
    <row r="371" ht="15.75" customHeight="1">
      <c r="B371" s="27"/>
      <c r="C371" s="27"/>
      <c r="D371" s="27"/>
    </row>
    <row r="372" ht="15.75" customHeight="1">
      <c r="B372" s="27"/>
      <c r="C372" s="27"/>
      <c r="D372" s="27"/>
    </row>
    <row r="373" ht="15.75" customHeight="1">
      <c r="B373" s="27"/>
      <c r="C373" s="27"/>
      <c r="D373" s="27"/>
    </row>
    <row r="374" ht="15.75" customHeight="1">
      <c r="B374" s="27"/>
      <c r="C374" s="27"/>
      <c r="D374" s="27"/>
    </row>
    <row r="375" ht="15.75" customHeight="1">
      <c r="B375" s="27"/>
      <c r="C375" s="27"/>
      <c r="D375" s="27"/>
    </row>
    <row r="376" ht="15.75" customHeight="1">
      <c r="B376" s="27"/>
      <c r="C376" s="27"/>
      <c r="D376" s="27"/>
    </row>
    <row r="377" ht="15.75" customHeight="1">
      <c r="B377" s="27"/>
      <c r="C377" s="27"/>
      <c r="D377" s="27"/>
    </row>
    <row r="378" ht="15.75" customHeight="1">
      <c r="B378" s="27"/>
      <c r="C378" s="27"/>
      <c r="D378" s="27"/>
    </row>
    <row r="379" ht="15.75" customHeight="1">
      <c r="B379" s="27"/>
      <c r="C379" s="27"/>
      <c r="D379" s="27"/>
    </row>
    <row r="380" ht="15.75" customHeight="1">
      <c r="B380" s="27"/>
      <c r="C380" s="27"/>
      <c r="D380" s="27"/>
    </row>
    <row r="381" ht="15.75" customHeight="1">
      <c r="B381" s="27"/>
      <c r="C381" s="27"/>
      <c r="D381" s="27"/>
    </row>
    <row r="382" ht="15.75" customHeight="1">
      <c r="B382" s="27"/>
      <c r="C382" s="27"/>
      <c r="D382" s="27"/>
    </row>
    <row r="383" ht="15.75" customHeight="1">
      <c r="B383" s="27"/>
      <c r="C383" s="27"/>
      <c r="D383" s="27"/>
    </row>
    <row r="384" ht="15.75" customHeight="1">
      <c r="B384" s="27"/>
      <c r="C384" s="27"/>
      <c r="D384" s="27"/>
    </row>
    <row r="385" ht="15.75" customHeight="1">
      <c r="B385" s="27"/>
      <c r="C385" s="27"/>
      <c r="D385" s="27"/>
    </row>
    <row r="386" ht="15.75" customHeight="1">
      <c r="B386" s="27"/>
      <c r="C386" s="27"/>
      <c r="D386" s="27"/>
    </row>
    <row r="387" ht="15.75" customHeight="1">
      <c r="B387" s="27"/>
      <c r="C387" s="27"/>
      <c r="D387" s="27"/>
    </row>
    <row r="388" ht="15.75" customHeight="1">
      <c r="B388" s="27"/>
      <c r="C388" s="27"/>
      <c r="D388" s="27"/>
    </row>
    <row r="389" ht="15.75" customHeight="1">
      <c r="B389" s="27"/>
      <c r="C389" s="27"/>
      <c r="D389" s="27"/>
    </row>
    <row r="390" ht="15.75" customHeight="1">
      <c r="B390" s="27"/>
      <c r="C390" s="27"/>
      <c r="D390" s="27"/>
    </row>
    <row r="391" ht="15.75" customHeight="1">
      <c r="B391" s="27"/>
      <c r="C391" s="27"/>
      <c r="D391" s="27"/>
    </row>
    <row r="392" ht="15.75" customHeight="1">
      <c r="B392" s="27"/>
      <c r="C392" s="27"/>
      <c r="D392" s="27"/>
    </row>
    <row r="393" ht="15.75" customHeight="1">
      <c r="B393" s="27"/>
      <c r="C393" s="27"/>
      <c r="D393" s="27"/>
    </row>
    <row r="394" ht="15.75" customHeight="1">
      <c r="B394" s="27"/>
      <c r="C394" s="27"/>
      <c r="D394" s="27"/>
    </row>
    <row r="395" ht="15.75" customHeight="1">
      <c r="B395" s="27"/>
      <c r="C395" s="27"/>
      <c r="D395" s="27"/>
    </row>
    <row r="396" ht="15.75" customHeight="1">
      <c r="B396" s="27"/>
      <c r="C396" s="27"/>
      <c r="D396" s="27"/>
    </row>
    <row r="397" ht="15.75" customHeight="1">
      <c r="B397" s="27"/>
      <c r="C397" s="27"/>
      <c r="D397" s="27"/>
    </row>
    <row r="398" ht="15.75" customHeight="1">
      <c r="B398" s="27"/>
      <c r="C398" s="27"/>
      <c r="D398" s="27"/>
    </row>
    <row r="399" ht="15.75" customHeight="1">
      <c r="B399" s="27"/>
      <c r="C399" s="27"/>
      <c r="D399" s="27"/>
    </row>
    <row r="400" ht="15.75" customHeight="1">
      <c r="B400" s="27"/>
      <c r="C400" s="27"/>
      <c r="D400" s="27"/>
    </row>
    <row r="401" ht="15.75" customHeight="1">
      <c r="B401" s="27"/>
      <c r="C401" s="27"/>
      <c r="D401" s="27"/>
    </row>
    <row r="402" ht="15.75" customHeight="1">
      <c r="B402" s="27"/>
      <c r="C402" s="27"/>
      <c r="D402" s="27"/>
    </row>
    <row r="403" ht="15.75" customHeight="1">
      <c r="B403" s="27"/>
      <c r="C403" s="27"/>
      <c r="D403" s="27"/>
    </row>
    <row r="404" ht="15.75" customHeight="1">
      <c r="B404" s="27"/>
      <c r="C404" s="27"/>
      <c r="D404" s="27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2"/>
    <mergeCell ref="A3:H3"/>
  </mergeCells>
  <dataValidations>
    <dataValidation type="list" allowBlank="1" sqref="C5:C404">
      <formula1>Lists!$B$2:$B$6</formula1>
    </dataValidation>
    <dataValidation type="list" allowBlank="1" sqref="D5:D404">
      <formula1>Lists!$C$2:$C$29</formula1>
    </dataValidation>
    <dataValidation type="list" allowBlank="1" sqref="B5:B404">
      <formula1>Lists!$A$2:$A$9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33.29"/>
    <col customWidth="1" min="4" max="4" width="13.29"/>
    <col customWidth="1" min="5" max="6" width="13.43"/>
    <col customWidth="1" min="7" max="7" width="14.14"/>
    <col customWidth="1" min="8" max="8" width="12.71"/>
    <col customWidth="1" min="9" max="9" width="14.0"/>
    <col customWidth="1" min="10" max="10" width="10.86"/>
    <col customWidth="1" min="11" max="11" width="10.0"/>
    <col customWidth="1" min="12" max="12" width="17.0"/>
    <col customWidth="1" min="13" max="13" width="17.29"/>
    <col customWidth="1" min="14" max="14" width="22.0"/>
    <col customWidth="1" min="15" max="26" width="8.71"/>
  </cols>
  <sheetData>
    <row r="1" ht="18.0" customHeight="1">
      <c r="A1" s="23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0.8873239437</v>
      </c>
      <c r="E4" s="7" t="s">
        <v>43</v>
      </c>
      <c r="G4" s="29">
        <f>IF(COUNT(H7:H21)=0,"",MIN(H7:H21))</f>
        <v>46213</v>
      </c>
      <c r="H4" s="7" t="s">
        <v>44</v>
      </c>
      <c r="I4" s="30" t="str">
        <f>IF(D4=1,"Ready for Handover",IF(D4&gt;=0.75,"Near Completion",IF(D4&gt;0,"In Progress","Not Started")))</f>
        <v>Near Completion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>
        <v>213.0</v>
      </c>
      <c r="F7" s="19">
        <v>46199.0</v>
      </c>
      <c r="G7" s="19">
        <v>46211.0</v>
      </c>
      <c r="H7" s="19">
        <v>46213.0</v>
      </c>
      <c r="I7" s="20">
        <f>SUMIFS(Daily_Entry!$F$5:$F$1000,Daily_Entry!$B$5:$B$1000,"Ambient",Daily_Entry!$D$5:$D$1000,C7)</f>
        <v>165</v>
      </c>
      <c r="J7" s="18">
        <f t="shared" ref="J7:J21" si="1">IF(OR(E7="",E7=0),"",I7/E7)</f>
        <v>0.7746478873</v>
      </c>
      <c r="K7" s="20">
        <f t="shared" ref="K7:K21" si="2">IF(E7="","",E7-I7)</f>
        <v>48</v>
      </c>
      <c r="L7" s="19">
        <f>IF(MAXIFS(Daily_Entry!$A$5:$A$1000,Daily_Entry!$B$5:$B$1000,"Ambient",Daily_Entry!$D$5:$D$1000,C7)=0,"",MAXIFS(Daily_Entry!$A$5:$A$1000,Daily_Entry!$B$5:$B$1000,"Ambient",Daily_Entry!$D$5:$D$1000,C7))</f>
        <v>46185</v>
      </c>
      <c r="M7" s="20" t="str">
        <f t="shared" ref="M7:M21" si="3">IF(I7=0,"Not Started",IF(AND(E7&lt;&gt;"",I7&gt;=E7),"Completed","In Progress"))</f>
        <v>In Progress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5">
        <v>200.0</v>
      </c>
      <c r="F8" s="19"/>
      <c r="G8" s="19"/>
      <c r="H8" s="19"/>
      <c r="I8" s="25">
        <v>200.0</v>
      </c>
      <c r="J8" s="18">
        <f t="shared" si="1"/>
        <v>1</v>
      </c>
      <c r="K8" s="20">
        <f t="shared" si="2"/>
        <v>0</v>
      </c>
      <c r="L8" s="19">
        <f>IF(MAXIFS(Daily_Entry!$A$5:$A$1000,Daily_Entry!$B$5:$B$1000,"Ambient",Daily_Entry!$D$5:$D$1000,C8)=0,"",MAXIFS(Daily_Entry!$A$5:$A$1000,Daily_Entry!$B$5:$B$1000,"Ambient",Daily_Entry!$D$5:$D$1000,C8))</f>
        <v>46210</v>
      </c>
      <c r="M8" s="20" t="str">
        <f t="shared" si="3"/>
        <v>Completed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SUMIFS(Daily_Entry!$F$5:$F$1000,Daily_Entry!$B$5:$B$1000,"Ambient",Daily_Entry!$D$5:$D$1000,C9)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IF(MAXIFS(Daily_Entry!$A$5:$A$1000,Daily_Entry!$B$5:$B$1000,"Ambient",Daily_Entry!$D$5:$D$1000,C9)=0,"",MAXIFS(Daily_Entry!$A$5:$A$1000,Daily_Entry!$B$5:$B$1000,"Ambient",Daily_Entry!$D$5:$D$1000,C9))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SUMIFS(Daily_Entry!$F$5:$F$1000,Daily_Entry!$B$5:$B$1000,"Ambient",Daily_Entry!$D$5:$D$1000,C10)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IF(MAXIFS(Daily_Entry!$A$5:$A$1000,Daily_Entry!$B$5:$B$1000,"Ambient",Daily_Entry!$D$5:$D$1000,C10)=0,"",MAXIFS(Daily_Entry!$A$5:$A$1000,Daily_Entry!$B$5:$B$1000,"Ambient",Daily_Entry!$D$5:$D$1000,C10))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SUMIFS(Daily_Entry!$F$5:$F$1000,Daily_Entry!$B$5:$B$1000,"Ambient",Daily_Entry!$D$5:$D$1000,C11)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IF(MAXIFS(Daily_Entry!$A$5:$A$1000,Daily_Entry!$B$5:$B$1000,"Ambient",Daily_Entry!$D$5:$D$1000,C11)=0,"",MAXIFS(Daily_Entry!$A$5:$A$1000,Daily_Entry!$B$5:$B$1000,"Ambient",Daily_Entry!$D$5:$D$1000,C11))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SUMIFS(Daily_Entry!$F$5:$F$1000,Daily_Entry!$B$5:$B$1000,"Ambient",Daily_Entry!$D$5:$D$1000,C12)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IF(MAXIFS(Daily_Entry!$A$5:$A$1000,Daily_Entry!$B$5:$B$1000,"Ambient",Daily_Entry!$D$5:$D$1000,C12)=0,"",MAXIFS(Daily_Entry!$A$5:$A$1000,Daily_Entry!$B$5:$B$1000,"Ambient",Daily_Entry!$D$5:$D$1000,C12))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SUMIFS(Daily_Entry!$F$5:$F$1000,Daily_Entry!$B$5:$B$1000,"Ambient",Daily_Entry!$D$5:$D$1000,C13)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IF(MAXIFS(Daily_Entry!$A$5:$A$1000,Daily_Entry!$B$5:$B$1000,"Ambient",Daily_Entry!$D$5:$D$1000,C13)=0,"",MAXIFS(Daily_Entry!$A$5:$A$1000,Daily_Entry!$B$5:$B$1000,"Ambient",Daily_Entry!$D$5:$D$1000,C13))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SUMIFS(Daily_Entry!$F$5:$F$1000,Daily_Entry!$B$5:$B$1000,"Ambient",Daily_Entry!$D$5:$D$1000,C14)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IF(MAXIFS(Daily_Entry!$A$5:$A$1000,Daily_Entry!$B$5:$B$1000,"Ambient",Daily_Entry!$D$5:$D$1000,C14)=0,"",MAXIFS(Daily_Entry!$A$5:$A$1000,Daily_Entry!$B$5:$B$1000,"Ambient",Daily_Entry!$D$5:$D$1000,C14))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SUMIFS(Daily_Entry!$F$5:$F$1000,Daily_Entry!$B$5:$B$1000,"Ambient",Daily_Entry!$D$5:$D$1000,C15)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IF(MAXIFS(Daily_Entry!$A$5:$A$1000,Daily_Entry!$B$5:$B$1000,"Ambient",Daily_Entry!$D$5:$D$1000,C15)=0,"",MAXIFS(Daily_Entry!$A$5:$A$1000,Daily_Entry!$B$5:$B$1000,"Ambient",Daily_Entry!$D$5:$D$1000,C15))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SUMIFS(Daily_Entry!$F$5:$F$1000,Daily_Entry!$B$5:$B$1000,"Ambient",Daily_Entry!$D$5:$D$1000,C16)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IF(MAXIFS(Daily_Entry!$A$5:$A$1000,Daily_Entry!$B$5:$B$1000,"Ambient",Daily_Entry!$D$5:$D$1000,C16)=0,"",MAXIFS(Daily_Entry!$A$5:$A$1000,Daily_Entry!$B$5:$B$1000,"Ambient",Daily_Entry!$D$5:$D$1000,C16))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SUMIFS(Daily_Entry!$F$5:$F$1000,Daily_Entry!$B$5:$B$1000,"Ambient",Daily_Entry!$D$5:$D$1000,C17)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IF(MAXIFS(Daily_Entry!$A$5:$A$1000,Daily_Entry!$B$5:$B$1000,"Ambient",Daily_Entry!$D$5:$D$1000,C17)=0,"",MAXIFS(Daily_Entry!$A$5:$A$1000,Daily_Entry!$B$5:$B$1000,"Ambient",Daily_Entry!$D$5:$D$1000,C17))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SUMIFS(Daily_Entry!$F$5:$F$1000,Daily_Entry!$B$5:$B$1000,"Ambient",Daily_Entry!$D$5:$D$1000,C18)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IF(MAXIFS(Daily_Entry!$A$5:$A$1000,Daily_Entry!$B$5:$B$1000,"Ambient",Daily_Entry!$D$5:$D$1000,C18)=0,"",MAXIFS(Daily_Entry!$A$5:$A$1000,Daily_Entry!$B$5:$B$1000,"Ambient",Daily_Entry!$D$5:$D$1000,C18))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SUMIFS(Daily_Entry!$F$5:$F$1000,Daily_Entry!$B$5:$B$1000,"Ambient",Daily_Entry!$D$5:$D$1000,C19)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IF(MAXIFS(Daily_Entry!$A$5:$A$1000,Daily_Entry!$B$5:$B$1000,"Ambient",Daily_Entry!$D$5:$D$1000,C19)=0,"",MAXIFS(Daily_Entry!$A$5:$A$1000,Daily_Entry!$B$5:$B$1000,"Ambient",Daily_Entry!$D$5:$D$1000,C19))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SUMIFS(Daily_Entry!$F$5:$F$1000,Daily_Entry!$B$5:$B$1000,"Ambient",Daily_Entry!$D$5:$D$1000,C20)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IF(MAXIFS(Daily_Entry!$A$5:$A$1000,Daily_Entry!$B$5:$B$1000,"Ambient",Daily_Entry!$D$5:$D$1000,C20)=0,"",MAXIFS(Daily_Entry!$A$5:$A$1000,Daily_Entry!$B$5:$B$1000,"Ambient",Daily_Entry!$D$5:$D$1000,C20))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SUMIFS(Daily_Entry!$F$5:$F$1000,Daily_Entry!$B$5:$B$1000,"Ambient",Daily_Entry!$D$5:$D$1000,C21)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IF(MAXIFS(Daily_Entry!$A$5:$A$1000,Daily_Entry!$B$5:$B$1000,"Ambient",Daily_Entry!$D$5:$D$1000,C21)=0,"",MAXIFS(Daily_Entry!$A$5:$A$1000,Daily_Entry!$B$5:$B$1000,"Ambient",Daily_Entry!$D$5:$D$1000,C21))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12.29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</v>
      </c>
      <c r="E4" s="7" t="s">
        <v>43</v>
      </c>
      <c r="G4" s="29" t="str">
        <f>IF(COUNT(H7:H21)=0,"",MIN(H7:H21))</f>
        <v/>
      </c>
      <c r="H4" s="7" t="s">
        <v>44</v>
      </c>
      <c r="I4" s="30" t="str">
        <f>IF(D4=1,"Ready for Handover",IF(D4&gt;=0.75,"Near Completion",IF(D4&gt;0,"In Progress","Not Started")))</f>
        <v>Not Started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/>
      <c r="F7" s="19"/>
      <c r="G7" s="19"/>
      <c r="H7" s="19"/>
      <c r="I7" s="20">
        <f>SUMIFS(Daily_Entry!$F$5:$F$1000,Daily_Entry!$B$5:$B$1000,"Chiller",Daily_Entry!$D$5:$D$1000,C7)</f>
        <v>36</v>
      </c>
      <c r="J7" s="18" t="str">
        <f t="shared" ref="J7:J21" si="1">IF(OR(E7="",E7=0),"",I7/E7)</f>
        <v/>
      </c>
      <c r="K7" s="20" t="str">
        <f t="shared" ref="K7:K21" si="2">IF(E7="","",E7-I7)</f>
        <v/>
      </c>
      <c r="L7" s="19">
        <f>IF(MAXIFS(Daily_Entry!$A$5:$A$1000,Daily_Entry!$B$5:$B$1000,"Chiller",Daily_Entry!$D$5:$D$1000,C7)=0,"",MAXIFS(Daily_Entry!$A$5:$A$1000,Daily_Entry!$B$5:$B$1000,"Chiller",Daily_Entry!$D$5:$D$1000,C7))</f>
        <v>46186</v>
      </c>
      <c r="M7" s="20" t="str">
        <f t="shared" ref="M7:M21" si="3">IF(I7=0,"Not Started",IF(AND(E7&lt;&gt;"",I7&gt;=E7),"Completed","In Progress"))</f>
        <v>In Progress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0"/>
      <c r="F8" s="19"/>
      <c r="G8" s="19"/>
      <c r="H8" s="19"/>
      <c r="I8" s="20">
        <f>SUMIFS(Daily_Entry!$F$5:$F$1000,Daily_Entry!$B$5:$B$1000,"Chiller",Daily_Entry!$D$5:$D$1000,C8)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IF(MAXIFS(Daily_Entry!$A$5:$A$1000,Daily_Entry!$B$5:$B$1000,"Chiller",Daily_Entry!$D$5:$D$1000,C8)=0,"",MAXIFS(Daily_Entry!$A$5:$A$1000,Daily_Entry!$B$5:$B$1000,"Chiller",Daily_Entry!$D$5:$D$1000,C8))</f>
        <v/>
      </c>
      <c r="M8" s="20" t="str">
        <f t="shared" si="3"/>
        <v>Not Started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SUMIFS(Daily_Entry!$F$5:$F$1000,Daily_Entry!$B$5:$B$1000,"Chiller",Daily_Entry!$D$5:$D$1000,C9)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IF(MAXIFS(Daily_Entry!$A$5:$A$1000,Daily_Entry!$B$5:$B$1000,"Chiller",Daily_Entry!$D$5:$D$1000,C9)=0,"",MAXIFS(Daily_Entry!$A$5:$A$1000,Daily_Entry!$B$5:$B$1000,"Chiller",Daily_Entry!$D$5:$D$1000,C9))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SUMIFS(Daily_Entry!$F$5:$F$1000,Daily_Entry!$B$5:$B$1000,"Chiller",Daily_Entry!$D$5:$D$1000,C10)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IF(MAXIFS(Daily_Entry!$A$5:$A$1000,Daily_Entry!$B$5:$B$1000,"Chiller",Daily_Entry!$D$5:$D$1000,C10)=0,"",MAXIFS(Daily_Entry!$A$5:$A$1000,Daily_Entry!$B$5:$B$1000,"Chiller",Daily_Entry!$D$5:$D$1000,C10))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SUMIFS(Daily_Entry!$F$5:$F$1000,Daily_Entry!$B$5:$B$1000,"Chiller",Daily_Entry!$D$5:$D$1000,C11)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IF(MAXIFS(Daily_Entry!$A$5:$A$1000,Daily_Entry!$B$5:$B$1000,"Chiller",Daily_Entry!$D$5:$D$1000,C11)=0,"",MAXIFS(Daily_Entry!$A$5:$A$1000,Daily_Entry!$B$5:$B$1000,"Chiller",Daily_Entry!$D$5:$D$1000,C11))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SUMIFS(Daily_Entry!$F$5:$F$1000,Daily_Entry!$B$5:$B$1000,"Chiller",Daily_Entry!$D$5:$D$1000,C12)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IF(MAXIFS(Daily_Entry!$A$5:$A$1000,Daily_Entry!$B$5:$B$1000,"Chiller",Daily_Entry!$D$5:$D$1000,C12)=0,"",MAXIFS(Daily_Entry!$A$5:$A$1000,Daily_Entry!$B$5:$B$1000,"Chiller",Daily_Entry!$D$5:$D$1000,C12))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SUMIFS(Daily_Entry!$F$5:$F$1000,Daily_Entry!$B$5:$B$1000,"Chiller",Daily_Entry!$D$5:$D$1000,C13)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IF(MAXIFS(Daily_Entry!$A$5:$A$1000,Daily_Entry!$B$5:$B$1000,"Chiller",Daily_Entry!$D$5:$D$1000,C13)=0,"",MAXIFS(Daily_Entry!$A$5:$A$1000,Daily_Entry!$B$5:$B$1000,"Chiller",Daily_Entry!$D$5:$D$1000,C13))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SUMIFS(Daily_Entry!$F$5:$F$1000,Daily_Entry!$B$5:$B$1000,"Chiller",Daily_Entry!$D$5:$D$1000,C14)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IF(MAXIFS(Daily_Entry!$A$5:$A$1000,Daily_Entry!$B$5:$B$1000,"Chiller",Daily_Entry!$D$5:$D$1000,C14)=0,"",MAXIFS(Daily_Entry!$A$5:$A$1000,Daily_Entry!$B$5:$B$1000,"Chiller",Daily_Entry!$D$5:$D$1000,C14))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SUMIFS(Daily_Entry!$F$5:$F$1000,Daily_Entry!$B$5:$B$1000,"Chiller",Daily_Entry!$D$5:$D$1000,C15)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IF(MAXIFS(Daily_Entry!$A$5:$A$1000,Daily_Entry!$B$5:$B$1000,"Chiller",Daily_Entry!$D$5:$D$1000,C15)=0,"",MAXIFS(Daily_Entry!$A$5:$A$1000,Daily_Entry!$B$5:$B$1000,"Chiller",Daily_Entry!$D$5:$D$1000,C15))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SUMIFS(Daily_Entry!$F$5:$F$1000,Daily_Entry!$B$5:$B$1000,"Chiller",Daily_Entry!$D$5:$D$1000,C16)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IF(MAXIFS(Daily_Entry!$A$5:$A$1000,Daily_Entry!$B$5:$B$1000,"Chiller",Daily_Entry!$D$5:$D$1000,C16)=0,"",MAXIFS(Daily_Entry!$A$5:$A$1000,Daily_Entry!$B$5:$B$1000,"Chiller",Daily_Entry!$D$5:$D$1000,C16))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SUMIFS(Daily_Entry!$F$5:$F$1000,Daily_Entry!$B$5:$B$1000,"Chiller",Daily_Entry!$D$5:$D$1000,C17)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IF(MAXIFS(Daily_Entry!$A$5:$A$1000,Daily_Entry!$B$5:$B$1000,"Chiller",Daily_Entry!$D$5:$D$1000,C17)=0,"",MAXIFS(Daily_Entry!$A$5:$A$1000,Daily_Entry!$B$5:$B$1000,"Chiller",Daily_Entry!$D$5:$D$1000,C17))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SUMIFS(Daily_Entry!$F$5:$F$1000,Daily_Entry!$B$5:$B$1000,"Chiller",Daily_Entry!$D$5:$D$1000,C18)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IF(MAXIFS(Daily_Entry!$A$5:$A$1000,Daily_Entry!$B$5:$B$1000,"Chiller",Daily_Entry!$D$5:$D$1000,C18)=0,"",MAXIFS(Daily_Entry!$A$5:$A$1000,Daily_Entry!$B$5:$B$1000,"Chiller",Daily_Entry!$D$5:$D$1000,C18))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SUMIFS(Daily_Entry!$F$5:$F$1000,Daily_Entry!$B$5:$B$1000,"Chiller",Daily_Entry!$D$5:$D$1000,C19)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IF(MAXIFS(Daily_Entry!$A$5:$A$1000,Daily_Entry!$B$5:$B$1000,"Chiller",Daily_Entry!$D$5:$D$1000,C19)=0,"",MAXIFS(Daily_Entry!$A$5:$A$1000,Daily_Entry!$B$5:$B$1000,"Chiller",Daily_Entry!$D$5:$D$1000,C19))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SUMIFS(Daily_Entry!$F$5:$F$1000,Daily_Entry!$B$5:$B$1000,"Chiller",Daily_Entry!$D$5:$D$1000,C20)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IF(MAXIFS(Daily_Entry!$A$5:$A$1000,Daily_Entry!$B$5:$B$1000,"Chiller",Daily_Entry!$D$5:$D$1000,C20)=0,"",MAXIFS(Daily_Entry!$A$5:$A$1000,Daily_Entry!$B$5:$B$1000,"Chiller",Daily_Entry!$D$5:$D$1000,C20))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SUMIFS(Daily_Entry!$F$5:$F$1000,Daily_Entry!$B$5:$B$1000,"Chiller",Daily_Entry!$D$5:$D$1000,C21)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IF(MAXIFS(Daily_Entry!$A$5:$A$1000,Daily_Entry!$B$5:$B$1000,"Chiller",Daily_Entry!$D$5:$D$1000,C21)=0,"",MAXIFS(Daily_Entry!$A$5:$A$1000,Daily_Entry!$B$5:$B$1000,"Chiller",Daily_Entry!$D$5:$D$1000,C21))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11.71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</v>
      </c>
      <c r="E4" s="7" t="s">
        <v>43</v>
      </c>
      <c r="G4" s="29" t="str">
        <f>IF(COUNT(H7:H21)=0,"",MIN(H7:H21))</f>
        <v/>
      </c>
      <c r="H4" s="7" t="s">
        <v>44</v>
      </c>
      <c r="I4" s="30" t="str">
        <f>IF(D4=1,"Ready for Handover",IF(D4&gt;=0.75,"Near Completion",IF(D4&gt;0,"In Progress","Not Started")))</f>
        <v>Not Started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/>
      <c r="F7" s="19"/>
      <c r="G7" s="19"/>
      <c r="H7" s="19"/>
      <c r="I7" s="20">
        <f>SUMIFS(Daily_Entry!$F$5:$F$1000,Daily_Entry!$B$5:$B$1000,"Freezer",Daily_Entry!$D$5:$D$1000,C7)</f>
        <v>0</v>
      </c>
      <c r="J7" s="18" t="str">
        <f t="shared" ref="J7:J21" si="1">IF(OR(E7="",E7=0),"",I7/E7)</f>
        <v/>
      </c>
      <c r="K7" s="20" t="str">
        <f t="shared" ref="K7:K21" si="2">IF(E7="","",E7-I7)</f>
        <v/>
      </c>
      <c r="L7" s="19" t="str">
        <f>IF(MAXIFS(Daily_Entry!$A$5:$A$1000,Daily_Entry!$B$5:$B$1000,"Freezer",Daily_Entry!$D$5:$D$1000,C7)=0,"",MAXIFS(Daily_Entry!$A$5:$A$1000,Daily_Entry!$B$5:$B$1000,"Freezer",Daily_Entry!$D$5:$D$1000,C7))</f>
        <v/>
      </c>
      <c r="M7" s="20" t="str">
        <f t="shared" ref="M7:M21" si="3">IF(I7=0,"Not Started",IF(AND(E7&lt;&gt;"",I7&gt;=E7),"Completed","In Progress"))</f>
        <v>Not Started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0"/>
      <c r="F8" s="19"/>
      <c r="G8" s="19"/>
      <c r="H8" s="19"/>
      <c r="I8" s="20">
        <f>SUMIFS(Daily_Entry!$F$5:$F$1000,Daily_Entry!$B$5:$B$1000,"Freezer",Daily_Entry!$D$5:$D$1000,C8)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IF(MAXIFS(Daily_Entry!$A$5:$A$1000,Daily_Entry!$B$5:$B$1000,"Freezer",Daily_Entry!$D$5:$D$1000,C8)=0,"",MAXIFS(Daily_Entry!$A$5:$A$1000,Daily_Entry!$B$5:$B$1000,"Freezer",Daily_Entry!$D$5:$D$1000,C8))</f>
        <v/>
      </c>
      <c r="M8" s="20" t="str">
        <f t="shared" si="3"/>
        <v>Not Started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SUMIFS(Daily_Entry!$F$5:$F$1000,Daily_Entry!$B$5:$B$1000,"Freezer",Daily_Entry!$D$5:$D$1000,C9)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IF(MAXIFS(Daily_Entry!$A$5:$A$1000,Daily_Entry!$B$5:$B$1000,"Freezer",Daily_Entry!$D$5:$D$1000,C9)=0,"",MAXIFS(Daily_Entry!$A$5:$A$1000,Daily_Entry!$B$5:$B$1000,"Freezer",Daily_Entry!$D$5:$D$1000,C9))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SUMIFS(Daily_Entry!$F$5:$F$1000,Daily_Entry!$B$5:$B$1000,"Freezer",Daily_Entry!$D$5:$D$1000,C10)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IF(MAXIFS(Daily_Entry!$A$5:$A$1000,Daily_Entry!$B$5:$B$1000,"Freezer",Daily_Entry!$D$5:$D$1000,C10)=0,"",MAXIFS(Daily_Entry!$A$5:$A$1000,Daily_Entry!$B$5:$B$1000,"Freezer",Daily_Entry!$D$5:$D$1000,C10))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SUMIFS(Daily_Entry!$F$5:$F$1000,Daily_Entry!$B$5:$B$1000,"Freezer",Daily_Entry!$D$5:$D$1000,C11)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IF(MAXIFS(Daily_Entry!$A$5:$A$1000,Daily_Entry!$B$5:$B$1000,"Freezer",Daily_Entry!$D$5:$D$1000,C11)=0,"",MAXIFS(Daily_Entry!$A$5:$A$1000,Daily_Entry!$B$5:$B$1000,"Freezer",Daily_Entry!$D$5:$D$1000,C11))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SUMIFS(Daily_Entry!$F$5:$F$1000,Daily_Entry!$B$5:$B$1000,"Freezer",Daily_Entry!$D$5:$D$1000,C12)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IF(MAXIFS(Daily_Entry!$A$5:$A$1000,Daily_Entry!$B$5:$B$1000,"Freezer",Daily_Entry!$D$5:$D$1000,C12)=0,"",MAXIFS(Daily_Entry!$A$5:$A$1000,Daily_Entry!$B$5:$B$1000,"Freezer",Daily_Entry!$D$5:$D$1000,C12))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SUMIFS(Daily_Entry!$F$5:$F$1000,Daily_Entry!$B$5:$B$1000,"Freezer",Daily_Entry!$D$5:$D$1000,C13)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IF(MAXIFS(Daily_Entry!$A$5:$A$1000,Daily_Entry!$B$5:$B$1000,"Freezer",Daily_Entry!$D$5:$D$1000,C13)=0,"",MAXIFS(Daily_Entry!$A$5:$A$1000,Daily_Entry!$B$5:$B$1000,"Freezer",Daily_Entry!$D$5:$D$1000,C13))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SUMIFS(Daily_Entry!$F$5:$F$1000,Daily_Entry!$B$5:$B$1000,"Freezer",Daily_Entry!$D$5:$D$1000,C14)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IF(MAXIFS(Daily_Entry!$A$5:$A$1000,Daily_Entry!$B$5:$B$1000,"Freezer",Daily_Entry!$D$5:$D$1000,C14)=0,"",MAXIFS(Daily_Entry!$A$5:$A$1000,Daily_Entry!$B$5:$B$1000,"Freezer",Daily_Entry!$D$5:$D$1000,C14))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SUMIFS(Daily_Entry!$F$5:$F$1000,Daily_Entry!$B$5:$B$1000,"Freezer",Daily_Entry!$D$5:$D$1000,C15)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IF(MAXIFS(Daily_Entry!$A$5:$A$1000,Daily_Entry!$B$5:$B$1000,"Freezer",Daily_Entry!$D$5:$D$1000,C15)=0,"",MAXIFS(Daily_Entry!$A$5:$A$1000,Daily_Entry!$B$5:$B$1000,"Freezer",Daily_Entry!$D$5:$D$1000,C15))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SUMIFS(Daily_Entry!$F$5:$F$1000,Daily_Entry!$B$5:$B$1000,"Freezer",Daily_Entry!$D$5:$D$1000,C16)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IF(MAXIFS(Daily_Entry!$A$5:$A$1000,Daily_Entry!$B$5:$B$1000,"Freezer",Daily_Entry!$D$5:$D$1000,C16)=0,"",MAXIFS(Daily_Entry!$A$5:$A$1000,Daily_Entry!$B$5:$B$1000,"Freezer",Daily_Entry!$D$5:$D$1000,C16))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SUMIFS(Daily_Entry!$F$5:$F$1000,Daily_Entry!$B$5:$B$1000,"Freezer",Daily_Entry!$D$5:$D$1000,C17)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IF(MAXIFS(Daily_Entry!$A$5:$A$1000,Daily_Entry!$B$5:$B$1000,"Freezer",Daily_Entry!$D$5:$D$1000,C17)=0,"",MAXIFS(Daily_Entry!$A$5:$A$1000,Daily_Entry!$B$5:$B$1000,"Freezer",Daily_Entry!$D$5:$D$1000,C17))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SUMIFS(Daily_Entry!$F$5:$F$1000,Daily_Entry!$B$5:$B$1000,"Freezer",Daily_Entry!$D$5:$D$1000,C18)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IF(MAXIFS(Daily_Entry!$A$5:$A$1000,Daily_Entry!$B$5:$B$1000,"Freezer",Daily_Entry!$D$5:$D$1000,C18)=0,"",MAXIFS(Daily_Entry!$A$5:$A$1000,Daily_Entry!$B$5:$B$1000,"Freezer",Daily_Entry!$D$5:$D$1000,C18))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SUMIFS(Daily_Entry!$F$5:$F$1000,Daily_Entry!$B$5:$B$1000,"Freezer",Daily_Entry!$D$5:$D$1000,C19)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IF(MAXIFS(Daily_Entry!$A$5:$A$1000,Daily_Entry!$B$5:$B$1000,"Freezer",Daily_Entry!$D$5:$D$1000,C19)=0,"",MAXIFS(Daily_Entry!$A$5:$A$1000,Daily_Entry!$B$5:$B$1000,"Freezer",Daily_Entry!$D$5:$D$1000,C19))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SUMIFS(Daily_Entry!$F$5:$F$1000,Daily_Entry!$B$5:$B$1000,"Freezer",Daily_Entry!$D$5:$D$1000,C20)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IF(MAXIFS(Daily_Entry!$A$5:$A$1000,Daily_Entry!$B$5:$B$1000,"Freezer",Daily_Entry!$D$5:$D$1000,C20)=0,"",MAXIFS(Daily_Entry!$A$5:$A$1000,Daily_Entry!$B$5:$B$1000,"Freezer",Daily_Entry!$D$5:$D$1000,C20))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SUMIFS(Daily_Entry!$F$5:$F$1000,Daily_Entry!$B$5:$B$1000,"Freezer",Daily_Entry!$D$5:$D$1000,C21)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IF(MAXIFS(Daily_Entry!$A$5:$A$1000,Daily_Entry!$B$5:$B$1000,"Freezer",Daily_Entry!$D$5:$D$1000,C21)=0,"",MAXIFS(Daily_Entry!$A$5:$A$1000,Daily_Entry!$B$5:$B$1000,"Freezer",Daily_Entry!$D$5:$D$1000,C21))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8.0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</v>
      </c>
      <c r="E4" s="7" t="s">
        <v>43</v>
      </c>
      <c r="G4" s="29" t="str">
        <f>IF(COUNT(H7:H21)=0,"",MIN(H7:H21))</f>
        <v/>
      </c>
      <c r="H4" s="7" t="s">
        <v>44</v>
      </c>
      <c r="I4" s="30" t="str">
        <f>IF(D4=1,"Ready for Handover",IF(D4&gt;=0.75,"Near Completion",IF(D4&gt;0,"In Progress","Not Started")))</f>
        <v>Not Started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/>
      <c r="F7" s="19"/>
      <c r="G7" s="19"/>
      <c r="H7" s="19"/>
      <c r="I7" s="20">
        <f>SUMIFS(Daily_Entry!$F$5:$F$1000,Daily_Entry!$B$5:$B$1000,"Blast",Daily_Entry!$D$5:$D$1000,C7)</f>
        <v>0</v>
      </c>
      <c r="J7" s="18" t="str">
        <f t="shared" ref="J7:J21" si="1">IF(OR(E7="",E7=0),"",I7/E7)</f>
        <v/>
      </c>
      <c r="K7" s="20" t="str">
        <f t="shared" ref="K7:K21" si="2">IF(E7="","",E7-I7)</f>
        <v/>
      </c>
      <c r="L7" s="19" t="str">
        <f>IF(MAXIFS(Daily_Entry!$A$5:$A$1000,Daily_Entry!$B$5:$B$1000,"Blast",Daily_Entry!$D$5:$D$1000,C7)=0,"",MAXIFS(Daily_Entry!$A$5:$A$1000,Daily_Entry!$B$5:$B$1000,"Blast",Daily_Entry!$D$5:$D$1000,C7))</f>
        <v/>
      </c>
      <c r="M7" s="20" t="str">
        <f t="shared" ref="M7:M21" si="3">IF(I7=0,"Not Started",IF(AND(E7&lt;&gt;"",I7&gt;=E7),"Completed","In Progress"))</f>
        <v>Not Started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0"/>
      <c r="F8" s="19"/>
      <c r="G8" s="19"/>
      <c r="H8" s="19"/>
      <c r="I8" s="20">
        <f>SUMIFS(Daily_Entry!$F$5:$F$1000,Daily_Entry!$B$5:$B$1000,"Blast",Daily_Entry!$D$5:$D$1000,C8)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IF(MAXIFS(Daily_Entry!$A$5:$A$1000,Daily_Entry!$B$5:$B$1000,"Blast",Daily_Entry!$D$5:$D$1000,C8)=0,"",MAXIFS(Daily_Entry!$A$5:$A$1000,Daily_Entry!$B$5:$B$1000,"Blast",Daily_Entry!$D$5:$D$1000,C8))</f>
        <v/>
      </c>
      <c r="M8" s="20" t="str">
        <f t="shared" si="3"/>
        <v>Not Started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SUMIFS(Daily_Entry!$F$5:$F$1000,Daily_Entry!$B$5:$B$1000,"Blast",Daily_Entry!$D$5:$D$1000,C9)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IF(MAXIFS(Daily_Entry!$A$5:$A$1000,Daily_Entry!$B$5:$B$1000,"Blast",Daily_Entry!$D$5:$D$1000,C9)=0,"",MAXIFS(Daily_Entry!$A$5:$A$1000,Daily_Entry!$B$5:$B$1000,"Blast",Daily_Entry!$D$5:$D$1000,C9))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SUMIFS(Daily_Entry!$F$5:$F$1000,Daily_Entry!$B$5:$B$1000,"Blast",Daily_Entry!$D$5:$D$1000,C10)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IF(MAXIFS(Daily_Entry!$A$5:$A$1000,Daily_Entry!$B$5:$B$1000,"Blast",Daily_Entry!$D$5:$D$1000,C10)=0,"",MAXIFS(Daily_Entry!$A$5:$A$1000,Daily_Entry!$B$5:$B$1000,"Blast",Daily_Entry!$D$5:$D$1000,C10))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SUMIFS(Daily_Entry!$F$5:$F$1000,Daily_Entry!$B$5:$B$1000,"Blast",Daily_Entry!$D$5:$D$1000,C11)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IF(MAXIFS(Daily_Entry!$A$5:$A$1000,Daily_Entry!$B$5:$B$1000,"Blast",Daily_Entry!$D$5:$D$1000,C11)=0,"",MAXIFS(Daily_Entry!$A$5:$A$1000,Daily_Entry!$B$5:$B$1000,"Blast",Daily_Entry!$D$5:$D$1000,C11))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SUMIFS(Daily_Entry!$F$5:$F$1000,Daily_Entry!$B$5:$B$1000,"Blast",Daily_Entry!$D$5:$D$1000,C12)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IF(MAXIFS(Daily_Entry!$A$5:$A$1000,Daily_Entry!$B$5:$B$1000,"Blast",Daily_Entry!$D$5:$D$1000,C12)=0,"",MAXIFS(Daily_Entry!$A$5:$A$1000,Daily_Entry!$B$5:$B$1000,"Blast",Daily_Entry!$D$5:$D$1000,C12))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SUMIFS(Daily_Entry!$F$5:$F$1000,Daily_Entry!$B$5:$B$1000,"Blast",Daily_Entry!$D$5:$D$1000,C13)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IF(MAXIFS(Daily_Entry!$A$5:$A$1000,Daily_Entry!$B$5:$B$1000,"Blast",Daily_Entry!$D$5:$D$1000,C13)=0,"",MAXIFS(Daily_Entry!$A$5:$A$1000,Daily_Entry!$B$5:$B$1000,"Blast",Daily_Entry!$D$5:$D$1000,C13))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SUMIFS(Daily_Entry!$F$5:$F$1000,Daily_Entry!$B$5:$B$1000,"Blast",Daily_Entry!$D$5:$D$1000,C14)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IF(MAXIFS(Daily_Entry!$A$5:$A$1000,Daily_Entry!$B$5:$B$1000,"Blast",Daily_Entry!$D$5:$D$1000,C14)=0,"",MAXIFS(Daily_Entry!$A$5:$A$1000,Daily_Entry!$B$5:$B$1000,"Blast",Daily_Entry!$D$5:$D$1000,C14))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SUMIFS(Daily_Entry!$F$5:$F$1000,Daily_Entry!$B$5:$B$1000,"Blast",Daily_Entry!$D$5:$D$1000,C15)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IF(MAXIFS(Daily_Entry!$A$5:$A$1000,Daily_Entry!$B$5:$B$1000,"Blast",Daily_Entry!$D$5:$D$1000,C15)=0,"",MAXIFS(Daily_Entry!$A$5:$A$1000,Daily_Entry!$B$5:$B$1000,"Blast",Daily_Entry!$D$5:$D$1000,C15))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SUMIFS(Daily_Entry!$F$5:$F$1000,Daily_Entry!$B$5:$B$1000,"Blast",Daily_Entry!$D$5:$D$1000,C16)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IF(MAXIFS(Daily_Entry!$A$5:$A$1000,Daily_Entry!$B$5:$B$1000,"Blast",Daily_Entry!$D$5:$D$1000,C16)=0,"",MAXIFS(Daily_Entry!$A$5:$A$1000,Daily_Entry!$B$5:$B$1000,"Blast",Daily_Entry!$D$5:$D$1000,C16))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SUMIFS(Daily_Entry!$F$5:$F$1000,Daily_Entry!$B$5:$B$1000,"Blast",Daily_Entry!$D$5:$D$1000,C17)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IF(MAXIFS(Daily_Entry!$A$5:$A$1000,Daily_Entry!$B$5:$B$1000,"Blast",Daily_Entry!$D$5:$D$1000,C17)=0,"",MAXIFS(Daily_Entry!$A$5:$A$1000,Daily_Entry!$B$5:$B$1000,"Blast",Daily_Entry!$D$5:$D$1000,C17))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SUMIFS(Daily_Entry!$F$5:$F$1000,Daily_Entry!$B$5:$B$1000,"Blast",Daily_Entry!$D$5:$D$1000,C18)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IF(MAXIFS(Daily_Entry!$A$5:$A$1000,Daily_Entry!$B$5:$B$1000,"Blast",Daily_Entry!$D$5:$D$1000,C18)=0,"",MAXIFS(Daily_Entry!$A$5:$A$1000,Daily_Entry!$B$5:$B$1000,"Blast",Daily_Entry!$D$5:$D$1000,C18))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SUMIFS(Daily_Entry!$F$5:$F$1000,Daily_Entry!$B$5:$B$1000,"Blast",Daily_Entry!$D$5:$D$1000,C19)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IF(MAXIFS(Daily_Entry!$A$5:$A$1000,Daily_Entry!$B$5:$B$1000,"Blast",Daily_Entry!$D$5:$D$1000,C19)=0,"",MAXIFS(Daily_Entry!$A$5:$A$1000,Daily_Entry!$B$5:$B$1000,"Blast",Daily_Entry!$D$5:$D$1000,C19))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SUMIFS(Daily_Entry!$F$5:$F$1000,Daily_Entry!$B$5:$B$1000,"Blast",Daily_Entry!$D$5:$D$1000,C20)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IF(MAXIFS(Daily_Entry!$A$5:$A$1000,Daily_Entry!$B$5:$B$1000,"Blast",Daily_Entry!$D$5:$D$1000,C20)=0,"",MAXIFS(Daily_Entry!$A$5:$A$1000,Daily_Entry!$B$5:$B$1000,"Blast",Daily_Entry!$D$5:$D$1000,C20))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SUMIFS(Daily_Entry!$F$5:$F$1000,Daily_Entry!$B$5:$B$1000,"Blast",Daily_Entry!$D$5:$D$1000,C21)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IF(MAXIFS(Daily_Entry!$A$5:$A$1000,Daily_Entry!$B$5:$B$1000,"Blast",Daily_Entry!$D$5:$D$1000,C21)=0,"",MAXIFS(Daily_Entry!$A$5:$A$1000,Daily_Entry!$B$5:$B$1000,"Blast",Daily_Entry!$D$5:$D$1000,C21))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8.0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</v>
      </c>
      <c r="E4" s="7" t="s">
        <v>43</v>
      </c>
      <c r="G4" s="29" t="str">
        <f>IF(COUNT(H7:H21)=0,"",MIN(H7:H21))</f>
        <v/>
      </c>
      <c r="H4" s="7" t="s">
        <v>44</v>
      </c>
      <c r="I4" s="30" t="str">
        <f>IF(D4=1,"Ready for Handover",IF(D4&gt;=0.75,"Near Completion",IF(D4&gt;0,"In Progress","Not Started")))</f>
        <v>Not Started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/>
      <c r="F7" s="19"/>
      <c r="G7" s="19"/>
      <c r="H7" s="19"/>
      <c r="I7" s="20">
        <f>SUMIFS(Daily_Entry!$F$5:$F$1000,Daily_Entry!$B$5:$B$1000,"FNV",Daily_Entry!$D$5:$D$1000,C7)</f>
        <v>0</v>
      </c>
      <c r="J7" s="18" t="str">
        <f t="shared" ref="J7:J21" si="1">IF(OR(E7="",E7=0),"",I7/E7)</f>
        <v/>
      </c>
      <c r="K7" s="20" t="str">
        <f t="shared" ref="K7:K21" si="2">IF(E7="","",E7-I7)</f>
        <v/>
      </c>
      <c r="L7" s="19" t="str">
        <f>IF(MAXIFS(Daily_Entry!$A$5:$A$1000,Daily_Entry!$B$5:$B$1000,"FNV",Daily_Entry!$D$5:$D$1000,C7)=0,"",MAXIFS(Daily_Entry!$A$5:$A$1000,Daily_Entry!$B$5:$B$1000,"FNV",Daily_Entry!$D$5:$D$1000,C7))</f>
        <v/>
      </c>
      <c r="M7" s="20" t="str">
        <f t="shared" ref="M7:M21" si="3">IF(I7=0,"Not Started",IF(AND(E7&lt;&gt;"",I7&gt;=E7),"Completed","In Progress"))</f>
        <v>Not Started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0"/>
      <c r="F8" s="19"/>
      <c r="G8" s="19"/>
      <c r="H8" s="19"/>
      <c r="I8" s="20">
        <f>SUMIFS(Daily_Entry!$F$5:$F$1000,Daily_Entry!$B$5:$B$1000,"FNV",Daily_Entry!$D$5:$D$1000,C8)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IF(MAXIFS(Daily_Entry!$A$5:$A$1000,Daily_Entry!$B$5:$B$1000,"FNV",Daily_Entry!$D$5:$D$1000,C8)=0,"",MAXIFS(Daily_Entry!$A$5:$A$1000,Daily_Entry!$B$5:$B$1000,"FNV",Daily_Entry!$D$5:$D$1000,C8))</f>
        <v/>
      </c>
      <c r="M8" s="20" t="str">
        <f t="shared" si="3"/>
        <v>Not Started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SUMIFS(Daily_Entry!$F$5:$F$1000,Daily_Entry!$B$5:$B$1000,"FNV",Daily_Entry!$D$5:$D$1000,C9)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IF(MAXIFS(Daily_Entry!$A$5:$A$1000,Daily_Entry!$B$5:$B$1000,"FNV",Daily_Entry!$D$5:$D$1000,C9)=0,"",MAXIFS(Daily_Entry!$A$5:$A$1000,Daily_Entry!$B$5:$B$1000,"FNV",Daily_Entry!$D$5:$D$1000,C9))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SUMIFS(Daily_Entry!$F$5:$F$1000,Daily_Entry!$B$5:$B$1000,"FNV",Daily_Entry!$D$5:$D$1000,C10)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IF(MAXIFS(Daily_Entry!$A$5:$A$1000,Daily_Entry!$B$5:$B$1000,"FNV",Daily_Entry!$D$5:$D$1000,C10)=0,"",MAXIFS(Daily_Entry!$A$5:$A$1000,Daily_Entry!$B$5:$B$1000,"FNV",Daily_Entry!$D$5:$D$1000,C10))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SUMIFS(Daily_Entry!$F$5:$F$1000,Daily_Entry!$B$5:$B$1000,"FNV",Daily_Entry!$D$5:$D$1000,C11)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IF(MAXIFS(Daily_Entry!$A$5:$A$1000,Daily_Entry!$B$5:$B$1000,"FNV",Daily_Entry!$D$5:$D$1000,C11)=0,"",MAXIFS(Daily_Entry!$A$5:$A$1000,Daily_Entry!$B$5:$B$1000,"FNV",Daily_Entry!$D$5:$D$1000,C11))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SUMIFS(Daily_Entry!$F$5:$F$1000,Daily_Entry!$B$5:$B$1000,"FNV",Daily_Entry!$D$5:$D$1000,C12)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IF(MAXIFS(Daily_Entry!$A$5:$A$1000,Daily_Entry!$B$5:$B$1000,"FNV",Daily_Entry!$D$5:$D$1000,C12)=0,"",MAXIFS(Daily_Entry!$A$5:$A$1000,Daily_Entry!$B$5:$B$1000,"FNV",Daily_Entry!$D$5:$D$1000,C12))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SUMIFS(Daily_Entry!$F$5:$F$1000,Daily_Entry!$B$5:$B$1000,"FNV",Daily_Entry!$D$5:$D$1000,C13)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IF(MAXIFS(Daily_Entry!$A$5:$A$1000,Daily_Entry!$B$5:$B$1000,"FNV",Daily_Entry!$D$5:$D$1000,C13)=0,"",MAXIFS(Daily_Entry!$A$5:$A$1000,Daily_Entry!$B$5:$B$1000,"FNV",Daily_Entry!$D$5:$D$1000,C13))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SUMIFS(Daily_Entry!$F$5:$F$1000,Daily_Entry!$B$5:$B$1000,"FNV",Daily_Entry!$D$5:$D$1000,C14)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IF(MAXIFS(Daily_Entry!$A$5:$A$1000,Daily_Entry!$B$5:$B$1000,"FNV",Daily_Entry!$D$5:$D$1000,C14)=0,"",MAXIFS(Daily_Entry!$A$5:$A$1000,Daily_Entry!$B$5:$B$1000,"FNV",Daily_Entry!$D$5:$D$1000,C14))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SUMIFS(Daily_Entry!$F$5:$F$1000,Daily_Entry!$B$5:$B$1000,"FNV",Daily_Entry!$D$5:$D$1000,C15)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IF(MAXIFS(Daily_Entry!$A$5:$A$1000,Daily_Entry!$B$5:$B$1000,"FNV",Daily_Entry!$D$5:$D$1000,C15)=0,"",MAXIFS(Daily_Entry!$A$5:$A$1000,Daily_Entry!$B$5:$B$1000,"FNV",Daily_Entry!$D$5:$D$1000,C15))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SUMIFS(Daily_Entry!$F$5:$F$1000,Daily_Entry!$B$5:$B$1000,"FNV",Daily_Entry!$D$5:$D$1000,C16)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IF(MAXIFS(Daily_Entry!$A$5:$A$1000,Daily_Entry!$B$5:$B$1000,"FNV",Daily_Entry!$D$5:$D$1000,C16)=0,"",MAXIFS(Daily_Entry!$A$5:$A$1000,Daily_Entry!$B$5:$B$1000,"FNV",Daily_Entry!$D$5:$D$1000,C16))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SUMIFS(Daily_Entry!$F$5:$F$1000,Daily_Entry!$B$5:$B$1000,"FNV",Daily_Entry!$D$5:$D$1000,C17)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IF(MAXIFS(Daily_Entry!$A$5:$A$1000,Daily_Entry!$B$5:$B$1000,"FNV",Daily_Entry!$D$5:$D$1000,C17)=0,"",MAXIFS(Daily_Entry!$A$5:$A$1000,Daily_Entry!$B$5:$B$1000,"FNV",Daily_Entry!$D$5:$D$1000,C17))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SUMIFS(Daily_Entry!$F$5:$F$1000,Daily_Entry!$B$5:$B$1000,"FNV",Daily_Entry!$D$5:$D$1000,C18)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IF(MAXIFS(Daily_Entry!$A$5:$A$1000,Daily_Entry!$B$5:$B$1000,"FNV",Daily_Entry!$D$5:$D$1000,C18)=0,"",MAXIFS(Daily_Entry!$A$5:$A$1000,Daily_Entry!$B$5:$B$1000,"FNV",Daily_Entry!$D$5:$D$1000,C18))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SUMIFS(Daily_Entry!$F$5:$F$1000,Daily_Entry!$B$5:$B$1000,"FNV",Daily_Entry!$D$5:$D$1000,C19)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IF(MAXIFS(Daily_Entry!$A$5:$A$1000,Daily_Entry!$B$5:$B$1000,"FNV",Daily_Entry!$D$5:$D$1000,C19)=0,"",MAXIFS(Daily_Entry!$A$5:$A$1000,Daily_Entry!$B$5:$B$1000,"FNV",Daily_Entry!$D$5:$D$1000,C19))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SUMIFS(Daily_Entry!$F$5:$F$1000,Daily_Entry!$B$5:$B$1000,"FNV",Daily_Entry!$D$5:$D$1000,C20)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IF(MAXIFS(Daily_Entry!$A$5:$A$1000,Daily_Entry!$B$5:$B$1000,"FNV",Daily_Entry!$D$5:$D$1000,C20)=0,"",MAXIFS(Daily_Entry!$A$5:$A$1000,Daily_Entry!$B$5:$B$1000,"FNV",Daily_Entry!$D$5:$D$1000,C20))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SUMIFS(Daily_Entry!$F$5:$F$1000,Daily_Entry!$B$5:$B$1000,"FNV",Daily_Entry!$D$5:$D$1000,C21)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IF(MAXIFS(Daily_Entry!$A$5:$A$1000,Daily_Entry!$B$5:$B$1000,"FNV",Daily_Entry!$D$5:$D$1000,C21)=0,"",MAXIFS(Daily_Entry!$A$5:$A$1000,Daily_Entry!$B$5:$B$1000,"FNV",Daily_Entry!$D$5:$D$1000,C21))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8.0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</v>
      </c>
      <c r="E4" s="7" t="s">
        <v>43</v>
      </c>
      <c r="G4" s="29" t="str">
        <f>IF(COUNT(H7:H21)=0,"",MIN(H7:H21))</f>
        <v/>
      </c>
      <c r="H4" s="7" t="s">
        <v>44</v>
      </c>
      <c r="I4" s="30" t="str">
        <f>IF(D4=1,"Ready for Handover",IF(D4&gt;=0.75,"Near Completion",IF(D4&gt;0,"In Progress","Not Started")))</f>
        <v>Not Started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/>
      <c r="F7" s="19"/>
      <c r="G7" s="19"/>
      <c r="H7" s="19"/>
      <c r="I7" s="20">
        <f>SUMIFS(Daily_Entry!$F$5:$F$1000,Daily_Entry!$B$5:$B$1000,"Corridor &amp; Warm Room",Daily_Entry!$D$5:$D$1000,C7)</f>
        <v>0</v>
      </c>
      <c r="J7" s="18" t="str">
        <f t="shared" ref="J7:J21" si="1">IF(OR(E7="",E7=0),"",I7/E7)</f>
        <v/>
      </c>
      <c r="K7" s="20" t="str">
        <f t="shared" ref="K7:K21" si="2">IF(E7="","",E7-I7)</f>
        <v/>
      </c>
      <c r="L7" s="19" t="str">
        <f>IF(MAXIFS(Daily_Entry!$A$5:$A$1000,Daily_Entry!$B$5:$B$1000,"Corridor &amp; Warm Room",Daily_Entry!$D$5:$D$1000,C7)=0,"",MAXIFS(Daily_Entry!$A$5:$A$1000,Daily_Entry!$B$5:$B$1000,"Corridor &amp; Warm Room",Daily_Entry!$D$5:$D$1000,C7))</f>
        <v/>
      </c>
      <c r="M7" s="20" t="str">
        <f t="shared" ref="M7:M21" si="3">IF(I7=0,"Not Started",IF(AND(E7&lt;&gt;"",I7&gt;=E7),"Completed","In Progress"))</f>
        <v>Not Started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0"/>
      <c r="F8" s="19"/>
      <c r="G8" s="19"/>
      <c r="H8" s="19"/>
      <c r="I8" s="20">
        <f>SUMIFS(Daily_Entry!$F$5:$F$1000,Daily_Entry!$B$5:$B$1000,"Corridor &amp; Warm Room",Daily_Entry!$D$5:$D$1000,C8)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IF(MAXIFS(Daily_Entry!$A$5:$A$1000,Daily_Entry!$B$5:$B$1000,"Corridor &amp; Warm Room",Daily_Entry!$D$5:$D$1000,C8)=0,"",MAXIFS(Daily_Entry!$A$5:$A$1000,Daily_Entry!$B$5:$B$1000,"Corridor &amp; Warm Room",Daily_Entry!$D$5:$D$1000,C8))</f>
        <v/>
      </c>
      <c r="M8" s="20" t="str">
        <f t="shared" si="3"/>
        <v>Not Started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SUMIFS(Daily_Entry!$F$5:$F$1000,Daily_Entry!$B$5:$B$1000,"Corridor &amp; Warm Room",Daily_Entry!$D$5:$D$1000,C9)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IF(MAXIFS(Daily_Entry!$A$5:$A$1000,Daily_Entry!$B$5:$B$1000,"Corridor &amp; Warm Room",Daily_Entry!$D$5:$D$1000,C9)=0,"",MAXIFS(Daily_Entry!$A$5:$A$1000,Daily_Entry!$B$5:$B$1000,"Corridor &amp; Warm Room",Daily_Entry!$D$5:$D$1000,C9))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SUMIFS(Daily_Entry!$F$5:$F$1000,Daily_Entry!$B$5:$B$1000,"Corridor &amp; Warm Room",Daily_Entry!$D$5:$D$1000,C10)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IF(MAXIFS(Daily_Entry!$A$5:$A$1000,Daily_Entry!$B$5:$B$1000,"Corridor &amp; Warm Room",Daily_Entry!$D$5:$D$1000,C10)=0,"",MAXIFS(Daily_Entry!$A$5:$A$1000,Daily_Entry!$B$5:$B$1000,"Corridor &amp; Warm Room",Daily_Entry!$D$5:$D$1000,C10))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SUMIFS(Daily_Entry!$F$5:$F$1000,Daily_Entry!$B$5:$B$1000,"Corridor &amp; Warm Room",Daily_Entry!$D$5:$D$1000,C11)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IF(MAXIFS(Daily_Entry!$A$5:$A$1000,Daily_Entry!$B$5:$B$1000,"Corridor &amp; Warm Room",Daily_Entry!$D$5:$D$1000,C11)=0,"",MAXIFS(Daily_Entry!$A$5:$A$1000,Daily_Entry!$B$5:$B$1000,"Corridor &amp; Warm Room",Daily_Entry!$D$5:$D$1000,C11))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SUMIFS(Daily_Entry!$F$5:$F$1000,Daily_Entry!$B$5:$B$1000,"Corridor &amp; Warm Room",Daily_Entry!$D$5:$D$1000,C12)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IF(MAXIFS(Daily_Entry!$A$5:$A$1000,Daily_Entry!$B$5:$B$1000,"Corridor &amp; Warm Room",Daily_Entry!$D$5:$D$1000,C12)=0,"",MAXIFS(Daily_Entry!$A$5:$A$1000,Daily_Entry!$B$5:$B$1000,"Corridor &amp; Warm Room",Daily_Entry!$D$5:$D$1000,C12))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SUMIFS(Daily_Entry!$F$5:$F$1000,Daily_Entry!$B$5:$B$1000,"Corridor &amp; Warm Room",Daily_Entry!$D$5:$D$1000,C13)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IF(MAXIFS(Daily_Entry!$A$5:$A$1000,Daily_Entry!$B$5:$B$1000,"Corridor &amp; Warm Room",Daily_Entry!$D$5:$D$1000,C13)=0,"",MAXIFS(Daily_Entry!$A$5:$A$1000,Daily_Entry!$B$5:$B$1000,"Corridor &amp; Warm Room",Daily_Entry!$D$5:$D$1000,C13))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SUMIFS(Daily_Entry!$F$5:$F$1000,Daily_Entry!$B$5:$B$1000,"Corridor &amp; Warm Room",Daily_Entry!$D$5:$D$1000,C14)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IF(MAXIFS(Daily_Entry!$A$5:$A$1000,Daily_Entry!$B$5:$B$1000,"Corridor &amp; Warm Room",Daily_Entry!$D$5:$D$1000,C14)=0,"",MAXIFS(Daily_Entry!$A$5:$A$1000,Daily_Entry!$B$5:$B$1000,"Corridor &amp; Warm Room",Daily_Entry!$D$5:$D$1000,C14))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SUMIFS(Daily_Entry!$F$5:$F$1000,Daily_Entry!$B$5:$B$1000,"Corridor &amp; Warm Room",Daily_Entry!$D$5:$D$1000,C15)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IF(MAXIFS(Daily_Entry!$A$5:$A$1000,Daily_Entry!$B$5:$B$1000,"Corridor &amp; Warm Room",Daily_Entry!$D$5:$D$1000,C15)=0,"",MAXIFS(Daily_Entry!$A$5:$A$1000,Daily_Entry!$B$5:$B$1000,"Corridor &amp; Warm Room",Daily_Entry!$D$5:$D$1000,C15))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SUMIFS(Daily_Entry!$F$5:$F$1000,Daily_Entry!$B$5:$B$1000,"Corridor &amp; Warm Room",Daily_Entry!$D$5:$D$1000,C16)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IF(MAXIFS(Daily_Entry!$A$5:$A$1000,Daily_Entry!$B$5:$B$1000,"Corridor &amp; Warm Room",Daily_Entry!$D$5:$D$1000,C16)=0,"",MAXIFS(Daily_Entry!$A$5:$A$1000,Daily_Entry!$B$5:$B$1000,"Corridor &amp; Warm Room",Daily_Entry!$D$5:$D$1000,C16))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SUMIFS(Daily_Entry!$F$5:$F$1000,Daily_Entry!$B$5:$B$1000,"Corridor &amp; Warm Room",Daily_Entry!$D$5:$D$1000,C17)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IF(MAXIFS(Daily_Entry!$A$5:$A$1000,Daily_Entry!$B$5:$B$1000,"Corridor &amp; Warm Room",Daily_Entry!$D$5:$D$1000,C17)=0,"",MAXIFS(Daily_Entry!$A$5:$A$1000,Daily_Entry!$B$5:$B$1000,"Corridor &amp; Warm Room",Daily_Entry!$D$5:$D$1000,C17))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SUMIFS(Daily_Entry!$F$5:$F$1000,Daily_Entry!$B$5:$B$1000,"Corridor &amp; Warm Room",Daily_Entry!$D$5:$D$1000,C18)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IF(MAXIFS(Daily_Entry!$A$5:$A$1000,Daily_Entry!$B$5:$B$1000,"Corridor &amp; Warm Room",Daily_Entry!$D$5:$D$1000,C18)=0,"",MAXIFS(Daily_Entry!$A$5:$A$1000,Daily_Entry!$B$5:$B$1000,"Corridor &amp; Warm Room",Daily_Entry!$D$5:$D$1000,C18))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SUMIFS(Daily_Entry!$F$5:$F$1000,Daily_Entry!$B$5:$B$1000,"Corridor &amp; Warm Room",Daily_Entry!$D$5:$D$1000,C19)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IF(MAXIFS(Daily_Entry!$A$5:$A$1000,Daily_Entry!$B$5:$B$1000,"Corridor &amp; Warm Room",Daily_Entry!$D$5:$D$1000,C19)=0,"",MAXIFS(Daily_Entry!$A$5:$A$1000,Daily_Entry!$B$5:$B$1000,"Corridor &amp; Warm Room",Daily_Entry!$D$5:$D$1000,C19))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SUMIFS(Daily_Entry!$F$5:$F$1000,Daily_Entry!$B$5:$B$1000,"Corridor &amp; Warm Room",Daily_Entry!$D$5:$D$1000,C20)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IF(MAXIFS(Daily_Entry!$A$5:$A$1000,Daily_Entry!$B$5:$B$1000,"Corridor &amp; Warm Room",Daily_Entry!$D$5:$D$1000,C20)=0,"",MAXIFS(Daily_Entry!$A$5:$A$1000,Daily_Entry!$B$5:$B$1000,"Corridor &amp; Warm Room",Daily_Entry!$D$5:$D$1000,C20))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SUMIFS(Daily_Entry!$F$5:$F$1000,Daily_Entry!$B$5:$B$1000,"Corridor &amp; Warm Room",Daily_Entry!$D$5:$D$1000,C21)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IF(MAXIFS(Daily_Entry!$A$5:$A$1000,Daily_Entry!$B$5:$B$1000,"Corridor &amp; Warm Room",Daily_Entry!$D$5:$D$1000,C21)=0,"",MAXIFS(Daily_Entry!$A$5:$A$1000,Daily_Entry!$B$5:$B$1000,"Corridor &amp; Warm Room",Daily_Entry!$D$5:$D$1000,C21))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6.0"/>
    <col customWidth="1" min="4" max="4" width="8.0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>
      <c r="A4" s="7" t="s">
        <v>42</v>
      </c>
      <c r="D4" s="28">
        <f>IFERROR(AVERAGE(J7:J21),0)</f>
        <v>0</v>
      </c>
      <c r="E4" s="7" t="s">
        <v>43</v>
      </c>
      <c r="G4" s="29" t="str">
        <f>IF(COUNT(H7:H21)=0,"",MIN(H7:H21))</f>
        <v/>
      </c>
      <c r="H4" s="7" t="s">
        <v>44</v>
      </c>
      <c r="I4" s="30" t="str">
        <f>IF(D4=1,"Ready for Handover",IF(D4&gt;=0.75,"Near Completion",IF(D4&gt;0,"In Progress","Not Started")))</f>
        <v>Not Started</v>
      </c>
    </row>
    <row r="6" ht="27.75" customHeight="1">
      <c r="A6" s="16" t="s">
        <v>45</v>
      </c>
      <c r="B6" s="16" t="s">
        <v>15</v>
      </c>
      <c r="C6" s="16" t="s">
        <v>22</v>
      </c>
      <c r="D6" s="16" t="s">
        <v>23</v>
      </c>
      <c r="E6" s="16" t="s">
        <v>46</v>
      </c>
      <c r="F6" s="16" t="s">
        <v>47</v>
      </c>
      <c r="G6" s="16" t="s">
        <v>48</v>
      </c>
      <c r="H6" s="16" t="s">
        <v>12</v>
      </c>
      <c r="I6" s="16" t="s">
        <v>49</v>
      </c>
      <c r="J6" s="16" t="s">
        <v>16</v>
      </c>
      <c r="K6" s="16" t="s">
        <v>50</v>
      </c>
      <c r="L6" s="16" t="s">
        <v>51</v>
      </c>
      <c r="M6" s="16" t="s">
        <v>13</v>
      </c>
      <c r="N6" s="16" t="s">
        <v>26</v>
      </c>
    </row>
    <row r="7">
      <c r="A7" s="20">
        <v>1.0</v>
      </c>
      <c r="B7" s="31" t="s">
        <v>28</v>
      </c>
      <c r="C7" s="32" t="s">
        <v>29</v>
      </c>
      <c r="D7" s="20" t="s">
        <v>30</v>
      </c>
      <c r="E7" s="20"/>
      <c r="F7" s="19"/>
      <c r="G7" s="19"/>
      <c r="H7" s="19"/>
      <c r="I7" s="20">
        <f>SUMIFS(Daily_Entry!$F$5:$F$1000,Daily_Entry!$B$5:$B$1000,"Ante Room",Daily_Entry!$D$5:$D$1000,C7)</f>
        <v>0</v>
      </c>
      <c r="J7" s="18" t="str">
        <f t="shared" ref="J7:J21" si="1">IF(OR(E7="",E7=0),"",I7/E7)</f>
        <v/>
      </c>
      <c r="K7" s="20" t="str">
        <f t="shared" ref="K7:K21" si="2">IF(E7="","",E7-I7)</f>
        <v/>
      </c>
      <c r="L7" s="19" t="str">
        <f>IF(MAXIFS(Daily_Entry!$A$5:$A$1000,Daily_Entry!$B$5:$B$1000,"Ante Room",Daily_Entry!$D$5:$D$1000,C7)=0,"",MAXIFS(Daily_Entry!$A$5:$A$1000,Daily_Entry!$B$5:$B$1000,"Ante Room",Daily_Entry!$D$5:$D$1000,C7))</f>
        <v/>
      </c>
      <c r="M7" s="20" t="str">
        <f t="shared" ref="M7:M21" si="3">IF(I7=0,"Not Started",IF(AND(E7&lt;&gt;"",I7&gt;=E7),"Completed","In Progress"))</f>
        <v>Not Started</v>
      </c>
      <c r="N7" s="32"/>
    </row>
    <row r="8">
      <c r="A8" s="20">
        <v>2.0</v>
      </c>
      <c r="B8" s="31" t="s">
        <v>28</v>
      </c>
      <c r="C8" s="32" t="s">
        <v>35</v>
      </c>
      <c r="D8" s="20" t="s">
        <v>30</v>
      </c>
      <c r="E8" s="20"/>
      <c r="F8" s="19"/>
      <c r="G8" s="19"/>
      <c r="H8" s="19"/>
      <c r="I8" s="20">
        <f>SUMIFS(Daily_Entry!$F$5:$F$1000,Daily_Entry!$B$5:$B$1000,"Ante Room",Daily_Entry!$D$5:$D$1000,C8)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IF(MAXIFS(Daily_Entry!$A$5:$A$1000,Daily_Entry!$B$5:$B$1000,"Ante Room",Daily_Entry!$D$5:$D$1000,C8)=0,"",MAXIFS(Daily_Entry!$A$5:$A$1000,Daily_Entry!$B$5:$B$1000,"Ante Room",Daily_Entry!$D$5:$D$1000,C8))</f>
        <v/>
      </c>
      <c r="M8" s="20" t="str">
        <f t="shared" si="3"/>
        <v>Not Started</v>
      </c>
      <c r="N8" s="32"/>
    </row>
    <row r="9">
      <c r="A9" s="20">
        <v>3.0</v>
      </c>
      <c r="B9" s="31" t="s">
        <v>28</v>
      </c>
      <c r="C9" s="32" t="s">
        <v>52</v>
      </c>
      <c r="D9" s="20" t="s">
        <v>30</v>
      </c>
      <c r="E9" s="20"/>
      <c r="F9" s="19"/>
      <c r="G9" s="19"/>
      <c r="H9" s="19"/>
      <c r="I9" s="20">
        <f>SUMIFS(Daily_Entry!$F$5:$F$1000,Daily_Entry!$B$5:$B$1000,"Ante Room",Daily_Entry!$D$5:$D$1000,C9)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IF(MAXIFS(Daily_Entry!$A$5:$A$1000,Daily_Entry!$B$5:$B$1000,"Ante Room",Daily_Entry!$D$5:$D$1000,C9)=0,"",MAXIFS(Daily_Entry!$A$5:$A$1000,Daily_Entry!$B$5:$B$1000,"Ante Room",Daily_Entry!$D$5:$D$1000,C9))</f>
        <v/>
      </c>
      <c r="M9" s="20" t="str">
        <f t="shared" si="3"/>
        <v>Not Started</v>
      </c>
      <c r="N9" s="32"/>
    </row>
    <row r="10">
      <c r="A10" s="20">
        <v>4.0</v>
      </c>
      <c r="B10" s="31" t="s">
        <v>28</v>
      </c>
      <c r="C10" s="32" t="s">
        <v>53</v>
      </c>
      <c r="D10" s="20" t="s">
        <v>30</v>
      </c>
      <c r="E10" s="20"/>
      <c r="F10" s="19"/>
      <c r="G10" s="19"/>
      <c r="H10" s="19"/>
      <c r="I10" s="20">
        <f>SUMIFS(Daily_Entry!$F$5:$F$1000,Daily_Entry!$B$5:$B$1000,"Ante Room",Daily_Entry!$D$5:$D$1000,C10)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IF(MAXIFS(Daily_Entry!$A$5:$A$1000,Daily_Entry!$B$5:$B$1000,"Ante Room",Daily_Entry!$D$5:$D$1000,C10)=0,"",MAXIFS(Daily_Entry!$A$5:$A$1000,Daily_Entry!$B$5:$B$1000,"Ante Room",Daily_Entry!$D$5:$D$1000,C10))</f>
        <v/>
      </c>
      <c r="M10" s="20" t="str">
        <f t="shared" si="3"/>
        <v>Not Started</v>
      </c>
      <c r="N10" s="32"/>
    </row>
    <row r="11">
      <c r="A11" s="20">
        <v>5.0</v>
      </c>
      <c r="B11" s="31" t="s">
        <v>28</v>
      </c>
      <c r="C11" s="32" t="s">
        <v>54</v>
      </c>
      <c r="D11" s="20" t="s">
        <v>30</v>
      </c>
      <c r="E11" s="20"/>
      <c r="F11" s="19"/>
      <c r="G11" s="19"/>
      <c r="H11" s="19"/>
      <c r="I11" s="20">
        <f>SUMIFS(Daily_Entry!$F$5:$F$1000,Daily_Entry!$B$5:$B$1000,"Ante Room",Daily_Entry!$D$5:$D$1000,C11)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IF(MAXIFS(Daily_Entry!$A$5:$A$1000,Daily_Entry!$B$5:$B$1000,"Ante Room",Daily_Entry!$D$5:$D$1000,C11)=0,"",MAXIFS(Daily_Entry!$A$5:$A$1000,Daily_Entry!$B$5:$B$1000,"Ante Room",Daily_Entry!$D$5:$D$1000,C11))</f>
        <v/>
      </c>
      <c r="M11" s="20" t="str">
        <f t="shared" si="3"/>
        <v>Not Started</v>
      </c>
      <c r="N11" s="32"/>
    </row>
    <row r="12">
      <c r="A12" s="20">
        <v>6.0</v>
      </c>
      <c r="B12" s="31" t="s">
        <v>28</v>
      </c>
      <c r="C12" s="32" t="s">
        <v>55</v>
      </c>
      <c r="D12" s="20" t="s">
        <v>30</v>
      </c>
      <c r="E12" s="20"/>
      <c r="F12" s="19"/>
      <c r="G12" s="19"/>
      <c r="H12" s="19"/>
      <c r="I12" s="20">
        <f>SUMIFS(Daily_Entry!$F$5:$F$1000,Daily_Entry!$B$5:$B$1000,"Ante Room",Daily_Entry!$D$5:$D$1000,C12)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IF(MAXIFS(Daily_Entry!$A$5:$A$1000,Daily_Entry!$B$5:$B$1000,"Ante Room",Daily_Entry!$D$5:$D$1000,C12)=0,"",MAXIFS(Daily_Entry!$A$5:$A$1000,Daily_Entry!$B$5:$B$1000,"Ante Room",Daily_Entry!$D$5:$D$1000,C12))</f>
        <v/>
      </c>
      <c r="M12" s="20" t="str">
        <f t="shared" si="3"/>
        <v>Not Started</v>
      </c>
      <c r="N12" s="32"/>
    </row>
    <row r="13">
      <c r="A13" s="20">
        <v>7.0</v>
      </c>
      <c r="B13" s="31" t="s">
        <v>28</v>
      </c>
      <c r="C13" s="32" t="s">
        <v>56</v>
      </c>
      <c r="D13" s="20" t="s">
        <v>57</v>
      </c>
      <c r="E13" s="20"/>
      <c r="F13" s="19"/>
      <c r="G13" s="19"/>
      <c r="H13" s="19"/>
      <c r="I13" s="20">
        <f>SUMIFS(Daily_Entry!$F$5:$F$1000,Daily_Entry!$B$5:$B$1000,"Ante Room",Daily_Entry!$D$5:$D$1000,C13)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IF(MAXIFS(Daily_Entry!$A$5:$A$1000,Daily_Entry!$B$5:$B$1000,"Ante Room",Daily_Entry!$D$5:$D$1000,C13)=0,"",MAXIFS(Daily_Entry!$A$5:$A$1000,Daily_Entry!$B$5:$B$1000,"Ante Room",Daily_Entry!$D$5:$D$1000,C13))</f>
        <v/>
      </c>
      <c r="M13" s="20" t="str">
        <f t="shared" si="3"/>
        <v>Not Started</v>
      </c>
      <c r="N13" s="32"/>
    </row>
    <row r="14">
      <c r="A14" s="20">
        <v>8.0</v>
      </c>
      <c r="B14" s="31" t="s">
        <v>28</v>
      </c>
      <c r="C14" s="32" t="s">
        <v>58</v>
      </c>
      <c r="D14" s="20" t="s">
        <v>59</v>
      </c>
      <c r="E14" s="20"/>
      <c r="F14" s="19"/>
      <c r="G14" s="19"/>
      <c r="H14" s="19"/>
      <c r="I14" s="20">
        <f>SUMIFS(Daily_Entry!$F$5:$F$1000,Daily_Entry!$B$5:$B$1000,"Ante Room",Daily_Entry!$D$5:$D$1000,C14)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IF(MAXIFS(Daily_Entry!$A$5:$A$1000,Daily_Entry!$B$5:$B$1000,"Ante Room",Daily_Entry!$D$5:$D$1000,C14)=0,"",MAXIFS(Daily_Entry!$A$5:$A$1000,Daily_Entry!$B$5:$B$1000,"Ante Room",Daily_Entry!$D$5:$D$1000,C14))</f>
        <v/>
      </c>
      <c r="M14" s="20" t="str">
        <f t="shared" si="3"/>
        <v>Not Started</v>
      </c>
      <c r="N14" s="32"/>
    </row>
    <row r="15">
      <c r="A15" s="20">
        <v>9.0</v>
      </c>
      <c r="B15" s="31" t="s">
        <v>28</v>
      </c>
      <c r="C15" s="32" t="s">
        <v>60</v>
      </c>
      <c r="D15" s="20" t="s">
        <v>59</v>
      </c>
      <c r="E15" s="20"/>
      <c r="F15" s="19"/>
      <c r="G15" s="19"/>
      <c r="H15" s="19"/>
      <c r="I15" s="20">
        <f>SUMIFS(Daily_Entry!$F$5:$F$1000,Daily_Entry!$B$5:$B$1000,"Ante Room",Daily_Entry!$D$5:$D$1000,C15)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IF(MAXIFS(Daily_Entry!$A$5:$A$1000,Daily_Entry!$B$5:$B$1000,"Ante Room",Daily_Entry!$D$5:$D$1000,C15)=0,"",MAXIFS(Daily_Entry!$A$5:$A$1000,Daily_Entry!$B$5:$B$1000,"Ante Room",Daily_Entry!$D$5:$D$1000,C15))</f>
        <v/>
      </c>
      <c r="M15" s="20" t="str">
        <f t="shared" si="3"/>
        <v>Not Started</v>
      </c>
      <c r="N15" s="32"/>
    </row>
    <row r="16">
      <c r="A16" s="20">
        <v>10.0</v>
      </c>
      <c r="B16" s="33" t="s">
        <v>61</v>
      </c>
      <c r="C16" s="32" t="s">
        <v>62</v>
      </c>
      <c r="D16" s="20" t="s">
        <v>57</v>
      </c>
      <c r="E16" s="20"/>
      <c r="F16" s="19"/>
      <c r="G16" s="19"/>
      <c r="H16" s="19"/>
      <c r="I16" s="20">
        <f>SUMIFS(Daily_Entry!$F$5:$F$1000,Daily_Entry!$B$5:$B$1000,"Ante Room",Daily_Entry!$D$5:$D$1000,C16)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IF(MAXIFS(Daily_Entry!$A$5:$A$1000,Daily_Entry!$B$5:$B$1000,"Ante Room",Daily_Entry!$D$5:$D$1000,C16)=0,"",MAXIFS(Daily_Entry!$A$5:$A$1000,Daily_Entry!$B$5:$B$1000,"Ante Room",Daily_Entry!$D$5:$D$1000,C16))</f>
        <v/>
      </c>
      <c r="M16" s="20" t="str">
        <f t="shared" si="3"/>
        <v>Not Started</v>
      </c>
      <c r="N16" s="32"/>
    </row>
    <row r="17">
      <c r="A17" s="20">
        <v>11.0</v>
      </c>
      <c r="B17" s="33" t="s">
        <v>61</v>
      </c>
      <c r="C17" s="32" t="s">
        <v>63</v>
      </c>
      <c r="D17" s="20" t="s">
        <v>57</v>
      </c>
      <c r="E17" s="20"/>
      <c r="F17" s="19"/>
      <c r="G17" s="19"/>
      <c r="H17" s="19"/>
      <c r="I17" s="20">
        <f>SUMIFS(Daily_Entry!$F$5:$F$1000,Daily_Entry!$B$5:$B$1000,"Ante Room",Daily_Entry!$D$5:$D$1000,C17)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IF(MAXIFS(Daily_Entry!$A$5:$A$1000,Daily_Entry!$B$5:$B$1000,"Ante Room",Daily_Entry!$D$5:$D$1000,C17)=0,"",MAXIFS(Daily_Entry!$A$5:$A$1000,Daily_Entry!$B$5:$B$1000,"Ante Room",Daily_Entry!$D$5:$D$1000,C17))</f>
        <v/>
      </c>
      <c r="M17" s="20" t="str">
        <f t="shared" si="3"/>
        <v>Not Started</v>
      </c>
      <c r="N17" s="32"/>
    </row>
    <row r="18">
      <c r="A18" s="20">
        <v>12.0</v>
      </c>
      <c r="B18" s="33" t="s">
        <v>61</v>
      </c>
      <c r="C18" s="32" t="s">
        <v>64</v>
      </c>
      <c r="D18" s="20" t="s">
        <v>57</v>
      </c>
      <c r="E18" s="20"/>
      <c r="F18" s="19"/>
      <c r="G18" s="19"/>
      <c r="H18" s="19"/>
      <c r="I18" s="20">
        <f>SUMIFS(Daily_Entry!$F$5:$F$1000,Daily_Entry!$B$5:$B$1000,"Ante Room",Daily_Entry!$D$5:$D$1000,C18)</f>
        <v>0</v>
      </c>
      <c r="J18" s="18" t="str">
        <f t="shared" si="1"/>
        <v/>
      </c>
      <c r="K18" s="20" t="str">
        <f t="shared" si="2"/>
        <v/>
      </c>
      <c r="L18" s="19" t="str">
        <f>IF(MAXIFS(Daily_Entry!$A$5:$A$1000,Daily_Entry!$B$5:$B$1000,"Ante Room",Daily_Entry!$D$5:$D$1000,C18)=0,"",MAXIFS(Daily_Entry!$A$5:$A$1000,Daily_Entry!$B$5:$B$1000,"Ante Room",Daily_Entry!$D$5:$D$1000,C18))</f>
        <v/>
      </c>
      <c r="M18" s="20" t="str">
        <f t="shared" si="3"/>
        <v>Not Started</v>
      </c>
      <c r="N18" s="32"/>
    </row>
    <row r="19">
      <c r="A19" s="20">
        <v>13.0</v>
      </c>
      <c r="B19" s="33" t="s">
        <v>61</v>
      </c>
      <c r="C19" s="32" t="s">
        <v>65</v>
      </c>
      <c r="D19" s="20" t="s">
        <v>57</v>
      </c>
      <c r="E19" s="20"/>
      <c r="F19" s="19"/>
      <c r="G19" s="19"/>
      <c r="H19" s="19"/>
      <c r="I19" s="20">
        <f>SUMIFS(Daily_Entry!$F$5:$F$1000,Daily_Entry!$B$5:$B$1000,"Ante Room",Daily_Entry!$D$5:$D$1000,C19)</f>
        <v>0</v>
      </c>
      <c r="J19" s="18" t="str">
        <f t="shared" si="1"/>
        <v/>
      </c>
      <c r="K19" s="20" t="str">
        <f t="shared" si="2"/>
        <v/>
      </c>
      <c r="L19" s="19" t="str">
        <f>IF(MAXIFS(Daily_Entry!$A$5:$A$1000,Daily_Entry!$B$5:$B$1000,"Ante Room",Daily_Entry!$D$5:$D$1000,C19)=0,"",MAXIFS(Daily_Entry!$A$5:$A$1000,Daily_Entry!$B$5:$B$1000,"Ante Room",Daily_Entry!$D$5:$D$1000,C19))</f>
        <v/>
      </c>
      <c r="M19" s="20" t="str">
        <f t="shared" si="3"/>
        <v>Not Started</v>
      </c>
      <c r="N19" s="32"/>
    </row>
    <row r="20">
      <c r="A20" s="20">
        <v>14.0</v>
      </c>
      <c r="B20" s="33" t="s">
        <v>61</v>
      </c>
      <c r="C20" s="32" t="s">
        <v>66</v>
      </c>
      <c r="D20" s="20" t="s">
        <v>57</v>
      </c>
      <c r="E20" s="20"/>
      <c r="F20" s="19"/>
      <c r="G20" s="19"/>
      <c r="H20" s="19"/>
      <c r="I20" s="20">
        <f>SUMIFS(Daily_Entry!$F$5:$F$1000,Daily_Entry!$B$5:$B$1000,"Ante Room",Daily_Entry!$D$5:$D$1000,C20)</f>
        <v>0</v>
      </c>
      <c r="J20" s="18" t="str">
        <f t="shared" si="1"/>
        <v/>
      </c>
      <c r="K20" s="20" t="str">
        <f t="shared" si="2"/>
        <v/>
      </c>
      <c r="L20" s="19" t="str">
        <f>IF(MAXIFS(Daily_Entry!$A$5:$A$1000,Daily_Entry!$B$5:$B$1000,"Ante Room",Daily_Entry!$D$5:$D$1000,C20)=0,"",MAXIFS(Daily_Entry!$A$5:$A$1000,Daily_Entry!$B$5:$B$1000,"Ante Room",Daily_Entry!$D$5:$D$1000,C20))</f>
        <v/>
      </c>
      <c r="M20" s="20" t="str">
        <f t="shared" si="3"/>
        <v>Not Started</v>
      </c>
      <c r="N20" s="32"/>
    </row>
    <row r="21" ht="15.75" customHeight="1">
      <c r="A21" s="20">
        <v>15.0</v>
      </c>
      <c r="B21" s="34" t="s">
        <v>67</v>
      </c>
      <c r="C21" s="32" t="s">
        <v>68</v>
      </c>
      <c r="D21" s="20" t="s">
        <v>30</v>
      </c>
      <c r="E21" s="20"/>
      <c r="F21" s="19"/>
      <c r="G21" s="19"/>
      <c r="H21" s="19"/>
      <c r="I21" s="20">
        <f>SUMIFS(Daily_Entry!$F$5:$F$1000,Daily_Entry!$B$5:$B$1000,"Ante Room",Daily_Entry!$D$5:$D$1000,C21)</f>
        <v>0</v>
      </c>
      <c r="J21" s="18" t="str">
        <f t="shared" si="1"/>
        <v/>
      </c>
      <c r="K21" s="20" t="str">
        <f t="shared" si="2"/>
        <v/>
      </c>
      <c r="L21" s="19" t="str">
        <f>IF(MAXIFS(Daily_Entry!$A$5:$A$1000,Daily_Entry!$B$5:$B$1000,"Ante Room",Daily_Entry!$D$5:$D$1000,C21)=0,"",MAXIFS(Daily_Entry!$A$5:$A$1000,Daily_Entry!$B$5:$B$1000,"Ante Room",Daily_Entry!$D$5:$D$1000,C21))</f>
        <v/>
      </c>
      <c r="M21" s="20" t="str">
        <f t="shared" si="3"/>
        <v>Not Started</v>
      </c>
      <c r="N21" s="3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7:M21">
    <cfRule type="cellIs" dxfId="0" priority="1" operator="equal">
      <formula>"Completed"</formula>
    </cfRule>
  </conditionalFormatting>
  <conditionalFormatting sqref="M7:M21">
    <cfRule type="cellIs" dxfId="1" priority="2" operator="equal">
      <formula>"In Progress"</formula>
    </cfRule>
  </conditionalFormatting>
  <conditionalFormatting sqref="M7:M21">
    <cfRule type="cellIs" dxfId="3" priority="3" operator="equal">
      <formula>"Not Started"</formula>
    </cfRule>
  </conditionalFormatting>
  <conditionalFormatting sqref="M7:M21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18.71"/>
    <col customWidth="1" min="3" max="3" width="30.71"/>
    <col customWidth="1" min="4" max="4" width="8.0"/>
    <col customWidth="1" min="5" max="5" width="10.0"/>
    <col customWidth="1" min="6" max="9" width="12.0"/>
    <col customWidth="1" min="10" max="11" width="10.0"/>
    <col customWidth="1" min="12" max="13" width="12.0"/>
    <col customWidth="1" min="14" max="14" width="22.0"/>
    <col customWidth="1" min="15" max="26" width="8.71"/>
  </cols>
  <sheetData>
    <row r="1" ht="18.0" customHeight="1">
      <c r="A1" s="23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 ht="27.75" customHeight="1">
      <c r="A4" s="16" t="s">
        <v>45</v>
      </c>
      <c r="B4" s="16" t="s">
        <v>15</v>
      </c>
      <c r="C4" s="16" t="s">
        <v>22</v>
      </c>
      <c r="D4" s="16" t="s">
        <v>23</v>
      </c>
      <c r="E4" s="16" t="s">
        <v>46</v>
      </c>
      <c r="F4" s="16" t="s">
        <v>47</v>
      </c>
      <c r="G4" s="16" t="s">
        <v>48</v>
      </c>
      <c r="H4" s="16" t="s">
        <v>12</v>
      </c>
      <c r="I4" s="16" t="s">
        <v>49</v>
      </c>
      <c r="J4" s="16" t="s">
        <v>16</v>
      </c>
      <c r="K4" s="16" t="s">
        <v>50</v>
      </c>
      <c r="L4" s="16" t="s">
        <v>51</v>
      </c>
      <c r="M4" s="16" t="s">
        <v>13</v>
      </c>
      <c r="N4" s="16" t="s">
        <v>26</v>
      </c>
    </row>
    <row r="5">
      <c r="A5" s="20">
        <v>1.0</v>
      </c>
      <c r="B5" s="35" t="s">
        <v>17</v>
      </c>
      <c r="C5" s="32" t="s">
        <v>76</v>
      </c>
      <c r="D5" s="20" t="s">
        <v>57</v>
      </c>
      <c r="E5" s="20"/>
      <c r="F5" s="19"/>
      <c r="G5" s="19"/>
      <c r="H5" s="19"/>
      <c r="I5" s="20">
        <f>SUMIFS(Daily_Entry!$F$5:$F$1000,Daily_Entry!$B$5:$B$1000,"Common / Plant-wide",Daily_Entry!$D$5:$D$1000,C5)</f>
        <v>0</v>
      </c>
      <c r="J5" s="18" t="str">
        <f t="shared" ref="J5:J17" si="1">IF(OR(E5="",E5=0),"",I5/E5)</f>
        <v/>
      </c>
      <c r="K5" s="20" t="str">
        <f t="shared" ref="K5:K17" si="2">IF(E5="","",E5-I5)</f>
        <v/>
      </c>
      <c r="L5" s="19" t="str">
        <f>IF(MAXIFS(Daily_Entry!$A$5:$A$1000,Daily_Entry!$B$5:$B$1000,"Common / Plant-wide",Daily_Entry!$D$5:$D$1000,C5)=0,"",MAXIFS(Daily_Entry!$A$5:$A$1000,Daily_Entry!$B$5:$B$1000,"Common / Plant-wide",Daily_Entry!$D$5:$D$1000,C5))</f>
        <v/>
      </c>
      <c r="M5" s="20" t="str">
        <f t="shared" ref="M5:M17" si="3">IF(I5=0,"Not Started",IF(AND(E5&lt;&gt;"",I5&gt;=E5),"Completed","In Progress"))</f>
        <v>Not Started</v>
      </c>
      <c r="N5" s="32"/>
    </row>
    <row r="6">
      <c r="A6" s="20">
        <v>2.0</v>
      </c>
      <c r="B6" s="35" t="s">
        <v>17</v>
      </c>
      <c r="C6" s="32" t="s">
        <v>77</v>
      </c>
      <c r="D6" s="20" t="s">
        <v>57</v>
      </c>
      <c r="E6" s="20"/>
      <c r="F6" s="19"/>
      <c r="G6" s="19"/>
      <c r="H6" s="19"/>
      <c r="I6" s="20">
        <f>SUMIFS(Daily_Entry!$F$5:$F$1000,Daily_Entry!$B$5:$B$1000,"Common / Plant-wide",Daily_Entry!$D$5:$D$1000,C6)</f>
        <v>0</v>
      </c>
      <c r="J6" s="18" t="str">
        <f t="shared" si="1"/>
        <v/>
      </c>
      <c r="K6" s="20" t="str">
        <f t="shared" si="2"/>
        <v/>
      </c>
      <c r="L6" s="19" t="str">
        <f>IF(MAXIFS(Daily_Entry!$A$5:$A$1000,Daily_Entry!$B$5:$B$1000,"Common / Plant-wide",Daily_Entry!$D$5:$D$1000,C6)=0,"",MAXIFS(Daily_Entry!$A$5:$A$1000,Daily_Entry!$B$5:$B$1000,"Common / Plant-wide",Daily_Entry!$D$5:$D$1000,C6))</f>
        <v/>
      </c>
      <c r="M6" s="20" t="str">
        <f t="shared" si="3"/>
        <v>Not Started</v>
      </c>
      <c r="N6" s="32"/>
    </row>
    <row r="7">
      <c r="A7" s="20">
        <v>3.0</v>
      </c>
      <c r="B7" s="35" t="s">
        <v>17</v>
      </c>
      <c r="C7" s="32" t="s">
        <v>39</v>
      </c>
      <c r="D7" s="20" t="s">
        <v>59</v>
      </c>
      <c r="E7" s="20"/>
      <c r="F7" s="19"/>
      <c r="G7" s="19"/>
      <c r="H7" s="19"/>
      <c r="I7" s="20">
        <f>SUMIFS(Daily_Entry!$F$5:$F$1000,Daily_Entry!$B$5:$B$1000,"Common / Plant-wide",Daily_Entry!$D$5:$D$1000,C7)</f>
        <v>0</v>
      </c>
      <c r="J7" s="18" t="str">
        <f t="shared" si="1"/>
        <v/>
      </c>
      <c r="K7" s="20" t="str">
        <f t="shared" si="2"/>
        <v/>
      </c>
      <c r="L7" s="19" t="str">
        <f>IF(MAXIFS(Daily_Entry!$A$5:$A$1000,Daily_Entry!$B$5:$B$1000,"Common / Plant-wide",Daily_Entry!$D$5:$D$1000,C7)=0,"",MAXIFS(Daily_Entry!$A$5:$A$1000,Daily_Entry!$B$5:$B$1000,"Common / Plant-wide",Daily_Entry!$D$5:$D$1000,C7))</f>
        <v/>
      </c>
      <c r="M7" s="20" t="str">
        <f t="shared" si="3"/>
        <v>Not Started</v>
      </c>
      <c r="N7" s="32"/>
    </row>
    <row r="8">
      <c r="A8" s="20">
        <v>4.0</v>
      </c>
      <c r="B8" s="35" t="s">
        <v>17</v>
      </c>
      <c r="C8" s="32" t="s">
        <v>78</v>
      </c>
      <c r="D8" s="20" t="s">
        <v>59</v>
      </c>
      <c r="E8" s="20"/>
      <c r="F8" s="19"/>
      <c r="G8" s="19"/>
      <c r="H8" s="19"/>
      <c r="I8" s="20">
        <f>SUMIFS(Daily_Entry!$F$5:$F$1000,Daily_Entry!$B$5:$B$1000,"Common / Plant-wide",Daily_Entry!$D$5:$D$1000,C8)</f>
        <v>0</v>
      </c>
      <c r="J8" s="18" t="str">
        <f t="shared" si="1"/>
        <v/>
      </c>
      <c r="K8" s="20" t="str">
        <f t="shared" si="2"/>
        <v/>
      </c>
      <c r="L8" s="19" t="str">
        <f>IF(MAXIFS(Daily_Entry!$A$5:$A$1000,Daily_Entry!$B$5:$B$1000,"Common / Plant-wide",Daily_Entry!$D$5:$D$1000,C8)=0,"",MAXIFS(Daily_Entry!$A$5:$A$1000,Daily_Entry!$B$5:$B$1000,"Common / Plant-wide",Daily_Entry!$D$5:$D$1000,C8))</f>
        <v/>
      </c>
      <c r="M8" s="20" t="str">
        <f t="shared" si="3"/>
        <v>Not Started</v>
      </c>
      <c r="N8" s="32"/>
    </row>
    <row r="9">
      <c r="A9" s="20">
        <v>5.0</v>
      </c>
      <c r="B9" s="35" t="s">
        <v>17</v>
      </c>
      <c r="C9" s="32" t="s">
        <v>79</v>
      </c>
      <c r="D9" s="20" t="s">
        <v>59</v>
      </c>
      <c r="E9" s="20"/>
      <c r="F9" s="19"/>
      <c r="G9" s="19"/>
      <c r="H9" s="19"/>
      <c r="I9" s="20">
        <f>SUMIFS(Daily_Entry!$F$5:$F$1000,Daily_Entry!$B$5:$B$1000,"Common / Plant-wide",Daily_Entry!$D$5:$D$1000,C9)</f>
        <v>0</v>
      </c>
      <c r="J9" s="18" t="str">
        <f t="shared" si="1"/>
        <v/>
      </c>
      <c r="K9" s="20" t="str">
        <f t="shared" si="2"/>
        <v/>
      </c>
      <c r="L9" s="19" t="str">
        <f>IF(MAXIFS(Daily_Entry!$A$5:$A$1000,Daily_Entry!$B$5:$B$1000,"Common / Plant-wide",Daily_Entry!$D$5:$D$1000,C9)=0,"",MAXIFS(Daily_Entry!$A$5:$A$1000,Daily_Entry!$B$5:$B$1000,"Common / Plant-wide",Daily_Entry!$D$5:$D$1000,C9))</f>
        <v/>
      </c>
      <c r="M9" s="20" t="str">
        <f t="shared" si="3"/>
        <v>Not Started</v>
      </c>
      <c r="N9" s="32"/>
    </row>
    <row r="10">
      <c r="A10" s="20">
        <v>6.0</v>
      </c>
      <c r="B10" s="35" t="s">
        <v>17</v>
      </c>
      <c r="C10" s="32" t="s">
        <v>80</v>
      </c>
      <c r="D10" s="20" t="s">
        <v>57</v>
      </c>
      <c r="E10" s="20"/>
      <c r="F10" s="19"/>
      <c r="G10" s="19"/>
      <c r="H10" s="19"/>
      <c r="I10" s="20">
        <f>SUMIFS(Daily_Entry!$F$5:$F$1000,Daily_Entry!$B$5:$B$1000,"Common / Plant-wide",Daily_Entry!$D$5:$D$1000,C10)</f>
        <v>0</v>
      </c>
      <c r="J10" s="18" t="str">
        <f t="shared" si="1"/>
        <v/>
      </c>
      <c r="K10" s="20" t="str">
        <f t="shared" si="2"/>
        <v/>
      </c>
      <c r="L10" s="19" t="str">
        <f>IF(MAXIFS(Daily_Entry!$A$5:$A$1000,Daily_Entry!$B$5:$B$1000,"Common / Plant-wide",Daily_Entry!$D$5:$D$1000,C10)=0,"",MAXIFS(Daily_Entry!$A$5:$A$1000,Daily_Entry!$B$5:$B$1000,"Common / Plant-wide",Daily_Entry!$D$5:$D$1000,C10))</f>
        <v/>
      </c>
      <c r="M10" s="20" t="str">
        <f t="shared" si="3"/>
        <v>Not Started</v>
      </c>
      <c r="N10" s="32"/>
    </row>
    <row r="11">
      <c r="A11" s="20">
        <v>7.0</v>
      </c>
      <c r="B11" s="35" t="s">
        <v>17</v>
      </c>
      <c r="C11" s="32" t="s">
        <v>81</v>
      </c>
      <c r="D11" s="20" t="s">
        <v>57</v>
      </c>
      <c r="E11" s="20"/>
      <c r="F11" s="19"/>
      <c r="G11" s="19"/>
      <c r="H11" s="19"/>
      <c r="I11" s="20">
        <f>SUMIFS(Daily_Entry!$F$5:$F$1000,Daily_Entry!$B$5:$B$1000,"Common / Plant-wide",Daily_Entry!$D$5:$D$1000,C11)</f>
        <v>0</v>
      </c>
      <c r="J11" s="18" t="str">
        <f t="shared" si="1"/>
        <v/>
      </c>
      <c r="K11" s="20" t="str">
        <f t="shared" si="2"/>
        <v/>
      </c>
      <c r="L11" s="19" t="str">
        <f>IF(MAXIFS(Daily_Entry!$A$5:$A$1000,Daily_Entry!$B$5:$B$1000,"Common / Plant-wide",Daily_Entry!$D$5:$D$1000,C11)=0,"",MAXIFS(Daily_Entry!$A$5:$A$1000,Daily_Entry!$B$5:$B$1000,"Common / Plant-wide",Daily_Entry!$D$5:$D$1000,C11))</f>
        <v/>
      </c>
      <c r="M11" s="20" t="str">
        <f t="shared" si="3"/>
        <v>Not Started</v>
      </c>
      <c r="N11" s="32"/>
    </row>
    <row r="12">
      <c r="A12" s="20">
        <v>8.0</v>
      </c>
      <c r="B12" s="35" t="s">
        <v>17</v>
      </c>
      <c r="C12" s="32" t="s">
        <v>82</v>
      </c>
      <c r="D12" s="20" t="s">
        <v>57</v>
      </c>
      <c r="E12" s="20"/>
      <c r="F12" s="19"/>
      <c r="G12" s="19"/>
      <c r="H12" s="19"/>
      <c r="I12" s="20">
        <f>SUMIFS(Daily_Entry!$F$5:$F$1000,Daily_Entry!$B$5:$B$1000,"Common / Plant-wide",Daily_Entry!$D$5:$D$1000,C12)</f>
        <v>0</v>
      </c>
      <c r="J12" s="18" t="str">
        <f t="shared" si="1"/>
        <v/>
      </c>
      <c r="K12" s="20" t="str">
        <f t="shared" si="2"/>
        <v/>
      </c>
      <c r="L12" s="19" t="str">
        <f>IF(MAXIFS(Daily_Entry!$A$5:$A$1000,Daily_Entry!$B$5:$B$1000,"Common / Plant-wide",Daily_Entry!$D$5:$D$1000,C12)=0,"",MAXIFS(Daily_Entry!$A$5:$A$1000,Daily_Entry!$B$5:$B$1000,"Common / Plant-wide",Daily_Entry!$D$5:$D$1000,C12))</f>
        <v/>
      </c>
      <c r="M12" s="20" t="str">
        <f t="shared" si="3"/>
        <v>Not Started</v>
      </c>
      <c r="N12" s="32"/>
    </row>
    <row r="13">
      <c r="A13" s="20">
        <v>9.0</v>
      </c>
      <c r="B13" s="35" t="s">
        <v>17</v>
      </c>
      <c r="C13" s="32" t="s">
        <v>83</v>
      </c>
      <c r="D13" s="20" t="s">
        <v>84</v>
      </c>
      <c r="E13" s="20"/>
      <c r="F13" s="19"/>
      <c r="G13" s="19"/>
      <c r="H13" s="19"/>
      <c r="I13" s="20">
        <f>SUMIFS(Daily_Entry!$F$5:$F$1000,Daily_Entry!$B$5:$B$1000,"Common / Plant-wide",Daily_Entry!$D$5:$D$1000,C13)</f>
        <v>0</v>
      </c>
      <c r="J13" s="18" t="str">
        <f t="shared" si="1"/>
        <v/>
      </c>
      <c r="K13" s="20" t="str">
        <f t="shared" si="2"/>
        <v/>
      </c>
      <c r="L13" s="19" t="str">
        <f>IF(MAXIFS(Daily_Entry!$A$5:$A$1000,Daily_Entry!$B$5:$B$1000,"Common / Plant-wide",Daily_Entry!$D$5:$D$1000,C13)=0,"",MAXIFS(Daily_Entry!$A$5:$A$1000,Daily_Entry!$B$5:$B$1000,"Common / Plant-wide",Daily_Entry!$D$5:$D$1000,C13))</f>
        <v/>
      </c>
      <c r="M13" s="20" t="str">
        <f t="shared" si="3"/>
        <v>Not Started</v>
      </c>
      <c r="N13" s="32"/>
    </row>
    <row r="14">
      <c r="A14" s="20">
        <v>10.0</v>
      </c>
      <c r="B14" s="35" t="s">
        <v>17</v>
      </c>
      <c r="C14" s="32" t="s">
        <v>85</v>
      </c>
      <c r="D14" s="20" t="s">
        <v>84</v>
      </c>
      <c r="E14" s="20"/>
      <c r="F14" s="19"/>
      <c r="G14" s="19"/>
      <c r="H14" s="19"/>
      <c r="I14" s="20">
        <f>SUMIFS(Daily_Entry!$F$5:$F$1000,Daily_Entry!$B$5:$B$1000,"Common / Plant-wide",Daily_Entry!$D$5:$D$1000,C14)</f>
        <v>0</v>
      </c>
      <c r="J14" s="18" t="str">
        <f t="shared" si="1"/>
        <v/>
      </c>
      <c r="K14" s="20" t="str">
        <f t="shared" si="2"/>
        <v/>
      </c>
      <c r="L14" s="19" t="str">
        <f>IF(MAXIFS(Daily_Entry!$A$5:$A$1000,Daily_Entry!$B$5:$B$1000,"Common / Plant-wide",Daily_Entry!$D$5:$D$1000,C14)=0,"",MAXIFS(Daily_Entry!$A$5:$A$1000,Daily_Entry!$B$5:$B$1000,"Common / Plant-wide",Daily_Entry!$D$5:$D$1000,C14))</f>
        <v/>
      </c>
      <c r="M14" s="20" t="str">
        <f t="shared" si="3"/>
        <v>Not Started</v>
      </c>
      <c r="N14" s="32"/>
    </row>
    <row r="15">
      <c r="A15" s="20">
        <v>11.0</v>
      </c>
      <c r="B15" s="35" t="s">
        <v>17</v>
      </c>
      <c r="C15" s="32" t="s">
        <v>86</v>
      </c>
      <c r="D15" s="20" t="s">
        <v>84</v>
      </c>
      <c r="E15" s="20"/>
      <c r="F15" s="19"/>
      <c r="G15" s="19"/>
      <c r="H15" s="19"/>
      <c r="I15" s="20">
        <f>SUMIFS(Daily_Entry!$F$5:$F$1000,Daily_Entry!$B$5:$B$1000,"Common / Plant-wide",Daily_Entry!$D$5:$D$1000,C15)</f>
        <v>0</v>
      </c>
      <c r="J15" s="18" t="str">
        <f t="shared" si="1"/>
        <v/>
      </c>
      <c r="K15" s="20" t="str">
        <f t="shared" si="2"/>
        <v/>
      </c>
      <c r="L15" s="19" t="str">
        <f>IF(MAXIFS(Daily_Entry!$A$5:$A$1000,Daily_Entry!$B$5:$B$1000,"Common / Plant-wide",Daily_Entry!$D$5:$D$1000,C15)=0,"",MAXIFS(Daily_Entry!$A$5:$A$1000,Daily_Entry!$B$5:$B$1000,"Common / Plant-wide",Daily_Entry!$D$5:$D$1000,C15))</f>
        <v/>
      </c>
      <c r="M15" s="20" t="str">
        <f t="shared" si="3"/>
        <v>Not Started</v>
      </c>
      <c r="N15" s="32"/>
    </row>
    <row r="16">
      <c r="A16" s="20">
        <v>12.0</v>
      </c>
      <c r="B16" s="36" t="s">
        <v>18</v>
      </c>
      <c r="C16" s="32" t="s">
        <v>87</v>
      </c>
      <c r="D16" s="20" t="s">
        <v>59</v>
      </c>
      <c r="E16" s="20"/>
      <c r="F16" s="19"/>
      <c r="G16" s="19"/>
      <c r="H16" s="19"/>
      <c r="I16" s="20">
        <f>SUMIFS(Daily_Entry!$F$5:$F$1000,Daily_Entry!$B$5:$B$1000,"Common / Plant-wide",Daily_Entry!$D$5:$D$1000,C16)</f>
        <v>0</v>
      </c>
      <c r="J16" s="18" t="str">
        <f t="shared" si="1"/>
        <v/>
      </c>
      <c r="K16" s="20" t="str">
        <f t="shared" si="2"/>
        <v/>
      </c>
      <c r="L16" s="19" t="str">
        <f>IF(MAXIFS(Daily_Entry!$A$5:$A$1000,Daily_Entry!$B$5:$B$1000,"Common / Plant-wide",Daily_Entry!$D$5:$D$1000,C16)=0,"",MAXIFS(Daily_Entry!$A$5:$A$1000,Daily_Entry!$B$5:$B$1000,"Common / Plant-wide",Daily_Entry!$D$5:$D$1000,C16))</f>
        <v/>
      </c>
      <c r="M16" s="20" t="str">
        <f t="shared" si="3"/>
        <v>Not Started</v>
      </c>
      <c r="N16" s="32"/>
    </row>
    <row r="17">
      <c r="A17" s="20">
        <v>13.0</v>
      </c>
      <c r="B17" s="36" t="s">
        <v>18</v>
      </c>
      <c r="C17" s="32" t="s">
        <v>88</v>
      </c>
      <c r="D17" s="20" t="s">
        <v>84</v>
      </c>
      <c r="E17" s="20"/>
      <c r="F17" s="19"/>
      <c r="G17" s="19"/>
      <c r="H17" s="19"/>
      <c r="I17" s="20">
        <f>SUMIFS(Daily_Entry!$F$5:$F$1000,Daily_Entry!$B$5:$B$1000,"Common / Plant-wide",Daily_Entry!$D$5:$D$1000,C17)</f>
        <v>0</v>
      </c>
      <c r="J17" s="18" t="str">
        <f t="shared" si="1"/>
        <v/>
      </c>
      <c r="K17" s="20" t="str">
        <f t="shared" si="2"/>
        <v/>
      </c>
      <c r="L17" s="19" t="str">
        <f>IF(MAXIFS(Daily_Entry!$A$5:$A$1000,Daily_Entry!$B$5:$B$1000,"Common / Plant-wide",Daily_Entry!$D$5:$D$1000,C17)=0,"",MAXIFS(Daily_Entry!$A$5:$A$1000,Daily_Entry!$B$5:$B$1000,"Common / Plant-wide",Daily_Entry!$D$5:$D$1000,C17))</f>
        <v/>
      </c>
      <c r="M17" s="20" t="str">
        <f t="shared" si="3"/>
        <v>Not Started</v>
      </c>
      <c r="N17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2"/>
  </mergeCells>
  <conditionalFormatting sqref="M5:M17">
    <cfRule type="cellIs" dxfId="0" priority="1" operator="equal">
      <formula>"Completed"</formula>
    </cfRule>
  </conditionalFormatting>
  <conditionalFormatting sqref="M5:M17">
    <cfRule type="cellIs" dxfId="1" priority="2" operator="equal">
      <formula>"In Progress"</formula>
    </cfRule>
  </conditionalFormatting>
  <conditionalFormatting sqref="M5:M17">
    <cfRule type="cellIs" dxfId="3" priority="3" operator="equal">
      <formula>"Not Started"</formula>
    </cfRule>
  </conditionalFormatting>
  <conditionalFormatting sqref="M5:M17">
    <cfRule type="cellIs" dxfId="2" priority="4" operator="equal">
      <formula>"Delayed"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2" width="16.86"/>
    <col customWidth="1" min="3" max="3" width="17.57"/>
    <col customWidth="1" min="4" max="4" width="18.14"/>
    <col customWidth="1" min="5" max="5" width="16.14"/>
    <col customWidth="1" min="6" max="6" width="18.71"/>
    <col customWidth="1" min="7" max="7" width="19.57"/>
    <col customWidth="1" min="8" max="8" width="14.29"/>
    <col customWidth="1" min="9" max="9" width="22.14"/>
    <col customWidth="1" min="10" max="10" width="24.0"/>
    <col customWidth="1" min="11" max="26" width="8.71"/>
  </cols>
  <sheetData>
    <row r="1" ht="18.0" customHeight="1">
      <c r="A1" s="23" t="s">
        <v>89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4" ht="25.5" customHeight="1">
      <c r="A4" s="16" t="s">
        <v>7</v>
      </c>
      <c r="B4" s="16" t="s">
        <v>90</v>
      </c>
      <c r="C4" s="16" t="s">
        <v>91</v>
      </c>
      <c r="D4" s="16" t="s">
        <v>92</v>
      </c>
      <c r="E4" s="16" t="s">
        <v>93</v>
      </c>
      <c r="F4" s="16" t="s">
        <v>94</v>
      </c>
      <c r="G4" s="16" t="s">
        <v>95</v>
      </c>
      <c r="H4" s="16" t="s">
        <v>96</v>
      </c>
      <c r="I4" s="16" t="s">
        <v>97</v>
      </c>
      <c r="J4" s="16" t="s">
        <v>26</v>
      </c>
    </row>
    <row r="5">
      <c r="A5" s="17" t="s">
        <v>27</v>
      </c>
      <c r="B5" s="18">
        <f>IFERROR(AVERAGEIFS('Ambient Room'!$J$7:$J$21,'Ambient Room'!$B$7:$B$21,"PUF Panel"),0)</f>
        <v>0.8873239437</v>
      </c>
      <c r="C5" s="18">
        <f>IFERROR(AVERAGEIFS('Ambient Room'!$J$7:$J$21,'Ambient Room'!$B$7:$B$21,"Door Work"),0)</f>
        <v>0</v>
      </c>
      <c r="D5" s="18">
        <f>IFERROR(AVERAGEIFS('Ambient Room'!$J$7:$J$21,'Ambient Room'!$B$7:$B$21,"Floor &amp; Racking"),0)</f>
        <v>0</v>
      </c>
      <c r="E5" s="18">
        <f t="shared" ref="E5:E11" si="1">AVERAGE(B5:D5)</f>
        <v>0.2957746479</v>
      </c>
      <c r="F5" s="19">
        <f>IF(COUNT('Ambient Room'!$H$7:$H$21)=0,"",MIN('Ambient Room'!$H$7:$H$21))</f>
        <v>46213</v>
      </c>
      <c r="G5" s="19">
        <f>IF(MAXIFS('Ambient Room'!$L$7:$L$21,'Ambient Room'!$M$7:$M$21,"Completed")=0,"",MAXIFS('Ambient Room'!$L$7:$L$21,'Ambient Room'!$M$7:$M$21,"Completed"))</f>
        <v>46210</v>
      </c>
      <c r="H5" s="20">
        <f t="shared" ref="H5:H11" si="2">IF(AND(F5&lt;&gt;"",G5&lt;&gt;""),G5-F5,IF(AND(F5&lt;&gt;"",TODAY()&gt;F5,E5&lt;1),TODAY()-F5,""))</f>
        <v>-3</v>
      </c>
      <c r="I5" s="20" t="str">
        <f t="shared" ref="I5:I11" si="3">IF(E5=1,"Ready for Handover",IF(E5&gt;=0.75,"Near Completion",IF(E5&gt;0,"In Progress","Not Started")))</f>
        <v>In Progress</v>
      </c>
      <c r="J5" s="32"/>
    </row>
    <row r="6">
      <c r="A6" s="17" t="s">
        <v>33</v>
      </c>
      <c r="B6" s="18">
        <f>IFERROR(AVERAGEIFS('Chiller Room'!$J$7:$J$21,'Chiller Room'!$B$7:$B$21,"PUF Panel"),0)</f>
        <v>0</v>
      </c>
      <c r="C6" s="18">
        <f>IFERROR(AVERAGEIFS('Chiller Room'!$J$7:$J$21,'Chiller Room'!$B$7:$B$21,"Door Work"),0)</f>
        <v>0</v>
      </c>
      <c r="D6" s="18">
        <f>IFERROR(AVERAGEIFS('Chiller Room'!$J$7:$J$21,'Chiller Room'!$B$7:$B$21,"Floor &amp; Racking"),0)</f>
        <v>0</v>
      </c>
      <c r="E6" s="18">
        <f t="shared" si="1"/>
        <v>0</v>
      </c>
      <c r="F6" s="19" t="str">
        <f>IF(COUNT('Chiller Room'!$H$7:$H$21)=0,"",MIN('Chiller Room'!$H$7:$H$21))</f>
        <v/>
      </c>
      <c r="G6" s="19" t="str">
        <f>IF(MAXIFS('Chiller Room'!$L$7:$L$21,'Chiller Room'!$M$7:$M$21,"Completed")=0,"",MAXIFS('Chiller Room'!$L$7:$L$21,'Chiller Room'!$M$7:$M$21,"Completed"))</f>
        <v/>
      </c>
      <c r="H6" s="20" t="str">
        <f t="shared" si="2"/>
        <v/>
      </c>
      <c r="I6" s="20" t="str">
        <f t="shared" si="3"/>
        <v>Not Started</v>
      </c>
      <c r="J6" s="32"/>
    </row>
    <row r="7">
      <c r="A7" s="17" t="s">
        <v>38</v>
      </c>
      <c r="B7" s="18">
        <f>IFERROR(AVERAGEIFS('Freezer Room'!$J$7:$J$21,'Freezer Room'!$B$7:$B$21,"PUF Panel"),0)</f>
        <v>0</v>
      </c>
      <c r="C7" s="18">
        <f>IFERROR(AVERAGEIFS('Freezer Room'!$J$7:$J$21,'Freezer Room'!$B$7:$B$21,"Door Work"),0)</f>
        <v>0</v>
      </c>
      <c r="D7" s="18">
        <f>IFERROR(AVERAGEIFS('Freezer Room'!$J$7:$J$21,'Freezer Room'!$B$7:$B$21,"Floor &amp; Racking"),0)</f>
        <v>0</v>
      </c>
      <c r="E7" s="18">
        <f t="shared" si="1"/>
        <v>0</v>
      </c>
      <c r="F7" s="19" t="str">
        <f>IF(COUNT('Freezer Room'!$H$7:$H$21)=0,"",MIN('Freezer Room'!$H$7:$H$21))</f>
        <v/>
      </c>
      <c r="G7" s="19" t="str">
        <f>IF(MAXIFS('Freezer Room'!$L$7:$L$21,'Freezer Room'!$M$7:$M$21,"Completed")=0,"",MAXIFS('Freezer Room'!$L$7:$L$21,'Freezer Room'!$M$7:$M$21,"Completed"))</f>
        <v/>
      </c>
      <c r="H7" s="20" t="str">
        <f t="shared" si="2"/>
        <v/>
      </c>
      <c r="I7" s="20" t="str">
        <f t="shared" si="3"/>
        <v>Not Started</v>
      </c>
      <c r="J7" s="32"/>
    </row>
    <row r="8">
      <c r="A8" s="17" t="s">
        <v>98</v>
      </c>
      <c r="B8" s="18">
        <f>IFERROR(AVERAGEIFS('Blast Room'!$J$7:$J$21,'Blast Room'!$B$7:$B$21,"PUF Panel"),0)</f>
        <v>0</v>
      </c>
      <c r="C8" s="18">
        <f>IFERROR(AVERAGEIFS('Blast Room'!$J$7:$J$21,'Blast Room'!$B$7:$B$21,"Door Work"),0)</f>
        <v>0</v>
      </c>
      <c r="D8" s="18">
        <f>IFERROR(AVERAGEIFS('Blast Room'!$J$7:$J$21,'Blast Room'!$B$7:$B$21,"Floor &amp; Racking"),0)</f>
        <v>0</v>
      </c>
      <c r="E8" s="18">
        <f t="shared" si="1"/>
        <v>0</v>
      </c>
      <c r="F8" s="19" t="str">
        <f>IF(COUNT('Blast Room'!$H$7:$H$21)=0,"",MIN('Blast Room'!$H$7:$H$21))</f>
        <v/>
      </c>
      <c r="G8" s="19" t="str">
        <f>IF(MAXIFS('Blast Room'!$L$7:$L$21,'Blast Room'!$M$7:$M$21,"Completed")=0,"",MAXIFS('Blast Room'!$L$7:$L$21,'Blast Room'!$M$7:$M$21,"Completed"))</f>
        <v/>
      </c>
      <c r="H8" s="20" t="str">
        <f t="shared" si="2"/>
        <v/>
      </c>
      <c r="I8" s="20" t="str">
        <f t="shared" si="3"/>
        <v>Not Started</v>
      </c>
      <c r="J8" s="32"/>
    </row>
    <row r="9">
      <c r="A9" s="17" t="s">
        <v>99</v>
      </c>
      <c r="B9" s="18">
        <f>IFERROR(AVERAGEIFS('FNV Room'!$J$7:$J$21,'FNV Room'!$B$7:$B$21,"PUF Panel"),0)</f>
        <v>0</v>
      </c>
      <c r="C9" s="18">
        <f>IFERROR(AVERAGEIFS('FNV Room'!$J$7:$J$21,'FNV Room'!$B$7:$B$21,"Door Work"),0)</f>
        <v>0</v>
      </c>
      <c r="D9" s="18">
        <f>IFERROR(AVERAGEIFS('FNV Room'!$J$7:$J$21,'FNV Room'!$B$7:$B$21,"Floor &amp; Racking"),0)</f>
        <v>0</v>
      </c>
      <c r="E9" s="18">
        <f t="shared" si="1"/>
        <v>0</v>
      </c>
      <c r="F9" s="19" t="str">
        <f>IF(COUNT('FNV Room'!$H$7:$H$21)=0,"",MIN('FNV Room'!$H$7:$H$21))</f>
        <v/>
      </c>
      <c r="G9" s="19" t="str">
        <f>IF(MAXIFS('FNV Room'!$L$7:$L$21,'FNV Room'!$M$7:$M$21,"Completed")=0,"",MAXIFS('FNV Room'!$L$7:$L$21,'FNV Room'!$M$7:$M$21,"Completed"))</f>
        <v/>
      </c>
      <c r="H9" s="20" t="str">
        <f t="shared" si="2"/>
        <v/>
      </c>
      <c r="I9" s="20" t="str">
        <f t="shared" si="3"/>
        <v>Not Started</v>
      </c>
      <c r="J9" s="32"/>
    </row>
    <row r="10">
      <c r="A10" s="17" t="s">
        <v>100</v>
      </c>
      <c r="B10" s="18">
        <f>IFERROR(AVERAGEIFS('Corridor &amp; Warm Room'!$J$7:$J$21,'Corridor &amp; Warm Room'!$B$7:$B$21,"PUF Panel"),0)</f>
        <v>0</v>
      </c>
      <c r="C10" s="18">
        <f>IFERROR(AVERAGEIFS('Corridor &amp; Warm Room'!$J$7:$J$21,'Corridor &amp; Warm Room'!$B$7:$B$21,"Door Work"),0)</f>
        <v>0</v>
      </c>
      <c r="D10" s="18">
        <f>IFERROR(AVERAGEIFS('Corridor &amp; Warm Room'!$J$7:$J$21,'Corridor &amp; Warm Room'!$B$7:$B$21,"Floor &amp; Racking"),0)</f>
        <v>0</v>
      </c>
      <c r="E10" s="18">
        <f t="shared" si="1"/>
        <v>0</v>
      </c>
      <c r="F10" s="19" t="str">
        <f>IF(COUNT('Corridor &amp; Warm Room'!$H$7:$H$21)=0,"",MIN('Corridor &amp; Warm Room'!$H$7:$H$21))</f>
        <v/>
      </c>
      <c r="G10" s="19" t="str">
        <f>IF(MAXIFS('Corridor &amp; Warm Room'!$L$7:$L$21,'Corridor &amp; Warm Room'!$M$7:$M$21,"Completed")=0,"",MAXIFS('Corridor &amp; Warm Room'!$L$7:$L$21,'Corridor &amp; Warm Room'!$M$7:$M$21,"Completed"))</f>
        <v/>
      </c>
      <c r="H10" s="20" t="str">
        <f t="shared" si="2"/>
        <v/>
      </c>
      <c r="I10" s="20" t="str">
        <f t="shared" si="3"/>
        <v>Not Started</v>
      </c>
      <c r="J10" s="32"/>
    </row>
    <row r="11">
      <c r="A11" s="17" t="s">
        <v>101</v>
      </c>
      <c r="B11" s="18">
        <f>IFERROR(AVERAGEIFS('Ante Room'!$J$7:$J$21,'Ante Room'!$B$7:$B$21,"PUF Panel"),0)</f>
        <v>0</v>
      </c>
      <c r="C11" s="18">
        <f>IFERROR(AVERAGEIFS('Ante Room'!$J$7:$J$21,'Ante Room'!$B$7:$B$21,"Door Work"),0)</f>
        <v>0</v>
      </c>
      <c r="D11" s="18">
        <f>IFERROR(AVERAGEIFS('Ante Room'!$J$7:$J$21,'Ante Room'!$B$7:$B$21,"Floor &amp; Racking"),0)</f>
        <v>0</v>
      </c>
      <c r="E11" s="18">
        <f t="shared" si="1"/>
        <v>0</v>
      </c>
      <c r="F11" s="19" t="str">
        <f>IF(COUNT('Ante Room'!$H$7:$H$21)=0,"",MIN('Ante Room'!$H$7:$H$21))</f>
        <v/>
      </c>
      <c r="G11" s="19" t="str">
        <f>IF(MAXIFS('Ante Room'!$L$7:$L$21,'Ante Room'!$M$7:$M$21,"Completed")=0,"",MAXIFS('Ante Room'!$L$7:$L$21,'Ante Room'!$M$7:$M$21,"Completed"))</f>
        <v/>
      </c>
      <c r="H11" s="20" t="str">
        <f t="shared" si="2"/>
        <v/>
      </c>
      <c r="I11" s="20" t="str">
        <f t="shared" si="3"/>
        <v>Not Started</v>
      </c>
      <c r="J11" s="32"/>
    </row>
    <row r="14">
      <c r="A14" s="37" t="s">
        <v>102</v>
      </c>
      <c r="B14" s="14"/>
      <c r="C14" s="14"/>
      <c r="D14" s="15"/>
    </row>
    <row r="15">
      <c r="A15" s="16" t="s">
        <v>15</v>
      </c>
      <c r="B15" s="16" t="s">
        <v>16</v>
      </c>
      <c r="C15" s="16" t="s">
        <v>51</v>
      </c>
      <c r="D15" s="16" t="s">
        <v>13</v>
      </c>
    </row>
    <row r="16">
      <c r="A16" s="20" t="s">
        <v>17</v>
      </c>
      <c r="B16" s="18">
        <f>IFERROR(AVERAGEIFS(Common_Works!$J$5:$J$17,Common_Works!$B$5:$B$17,A16),0)</f>
        <v>0</v>
      </c>
      <c r="C16" s="19" t="str">
        <f>IF(MAXIFS(Common_Works!$L$5:$L$17,Common_Works!$B$5:$B$17,A16)=0,"",MAXIFS(Common_Works!$L$5:$L$17,Common_Works!$B$5:$B$17,A16))</f>
        <v/>
      </c>
      <c r="D16" s="20" t="str">
        <f t="shared" ref="D16:D17" si="4">IF(B16=1,"Completed",IF(B16&gt;0,"In Progress","Not Started"))</f>
        <v>Not Started</v>
      </c>
    </row>
    <row r="17">
      <c r="A17" s="20" t="s">
        <v>18</v>
      </c>
      <c r="B17" s="18">
        <f>IFERROR(AVERAGEIFS(Common_Works!$J$5:$J$17,Common_Works!$B$5:$B$17,A17),0)</f>
        <v>0</v>
      </c>
      <c r="C17" s="19" t="str">
        <f>IF(MAXIFS(Common_Works!$L$5:$L$17,Common_Works!$B$5:$B$17,A17)=0,"",MAXIFS(Common_Works!$L$5:$L$17,Common_Works!$B$5:$B$17,A17))</f>
        <v/>
      </c>
      <c r="D17" s="20" t="str">
        <f t="shared" si="4"/>
        <v>Not Started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2"/>
    <mergeCell ref="A14:D14"/>
  </mergeCells>
  <conditionalFormatting sqref="I5:I11">
    <cfRule type="cellIs" dxfId="0" priority="1" operator="equal">
      <formula>"Ready for Handover"</formula>
    </cfRule>
  </conditionalFormatting>
  <conditionalFormatting sqref="I5:I11">
    <cfRule type="cellIs" dxfId="1" priority="2" operator="equal">
      <formula>"Near Completion"</formula>
    </cfRule>
  </conditionalFormatting>
  <conditionalFormatting sqref="I5:I11">
    <cfRule type="cellIs" dxfId="2" priority="3" operator="equal">
      <formula>"In Progress"</formula>
    </cfRule>
  </conditionalFormatting>
  <conditionalFormatting sqref="I5:I11">
    <cfRule type="cellIs" dxfId="3" priority="4" operator="equal">
      <formula>"Not Started"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7.14"/>
    <col customWidth="1" min="3" max="3" width="23.71"/>
    <col customWidth="1" min="4" max="4" width="18.43"/>
    <col customWidth="1" min="5" max="5" width="17.71"/>
    <col customWidth="1" min="6" max="26" width="8.71"/>
  </cols>
  <sheetData>
    <row r="1">
      <c r="A1" s="23" t="s">
        <v>103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4">
      <c r="A4" s="16" t="s">
        <v>104</v>
      </c>
      <c r="B4" s="16" t="s">
        <v>105</v>
      </c>
      <c r="C4" s="16" t="s">
        <v>106</v>
      </c>
      <c r="D4" s="16" t="s">
        <v>107</v>
      </c>
      <c r="E4" s="16" t="s">
        <v>96</v>
      </c>
    </row>
    <row r="5">
      <c r="A5" s="17" t="s">
        <v>27</v>
      </c>
      <c r="B5" s="19">
        <v>46148.0</v>
      </c>
      <c r="C5" s="20" t="s">
        <v>108</v>
      </c>
      <c r="D5" s="19"/>
      <c r="E5" s="20" t="str">
        <f t="shared" ref="E5:E13" si="1">IF(D5&lt;&gt;"",D5-B5,"")</f>
        <v/>
      </c>
    </row>
    <row r="6">
      <c r="A6" s="17" t="s">
        <v>33</v>
      </c>
      <c r="B6" s="19">
        <v>46152.0</v>
      </c>
      <c r="C6" s="20" t="s">
        <v>109</v>
      </c>
      <c r="D6" s="19"/>
      <c r="E6" s="20" t="str">
        <f t="shared" si="1"/>
        <v/>
      </c>
    </row>
    <row r="7">
      <c r="A7" s="17" t="s">
        <v>38</v>
      </c>
      <c r="B7" s="19">
        <v>46158.0</v>
      </c>
      <c r="C7" s="20" t="s">
        <v>110</v>
      </c>
      <c r="D7" s="19"/>
      <c r="E7" s="20" t="str">
        <f t="shared" si="1"/>
        <v/>
      </c>
    </row>
    <row r="8">
      <c r="A8" s="17" t="s">
        <v>98</v>
      </c>
      <c r="B8" s="19">
        <v>46159.0</v>
      </c>
      <c r="C8" s="20" t="s">
        <v>111</v>
      </c>
      <c r="D8" s="19"/>
      <c r="E8" s="20" t="str">
        <f t="shared" si="1"/>
        <v/>
      </c>
    </row>
    <row r="9">
      <c r="A9" s="17" t="s">
        <v>99</v>
      </c>
      <c r="B9" s="20"/>
      <c r="C9" s="20"/>
      <c r="D9" s="19"/>
      <c r="E9" s="20" t="str">
        <f t="shared" si="1"/>
        <v/>
      </c>
    </row>
    <row r="10">
      <c r="A10" s="17" t="s">
        <v>100</v>
      </c>
      <c r="B10" s="19">
        <v>46160.0</v>
      </c>
      <c r="C10" s="20" t="s">
        <v>112</v>
      </c>
      <c r="D10" s="19"/>
      <c r="E10" s="20" t="str">
        <f t="shared" si="1"/>
        <v/>
      </c>
    </row>
    <row r="11">
      <c r="A11" s="17" t="s">
        <v>101</v>
      </c>
      <c r="B11" s="20"/>
      <c r="C11" s="20"/>
      <c r="D11" s="19"/>
      <c r="E11" s="20" t="str">
        <f t="shared" si="1"/>
        <v/>
      </c>
    </row>
    <row r="12">
      <c r="A12" s="17" t="s">
        <v>113</v>
      </c>
      <c r="B12" s="20"/>
      <c r="C12" s="20"/>
      <c r="D12" s="19"/>
      <c r="E12" s="20" t="str">
        <f t="shared" si="1"/>
        <v/>
      </c>
    </row>
    <row r="13">
      <c r="A13" s="17" t="s">
        <v>114</v>
      </c>
      <c r="B13" s="20"/>
      <c r="C13" s="20"/>
      <c r="D13" s="19"/>
      <c r="E13" s="20" t="str">
        <f t="shared" si="1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7" t="s">
        <v>115</v>
      </c>
      <c r="B1" s="27" t="s">
        <v>116</v>
      </c>
      <c r="C1" s="27" t="s">
        <v>117</v>
      </c>
      <c r="D1" s="27" t="s">
        <v>13</v>
      </c>
    </row>
    <row r="2">
      <c r="A2" s="27" t="s">
        <v>27</v>
      </c>
      <c r="B2" s="27" t="s">
        <v>28</v>
      </c>
      <c r="C2" s="27" t="s">
        <v>64</v>
      </c>
      <c r="D2" s="27" t="s">
        <v>118</v>
      </c>
    </row>
    <row r="3">
      <c r="A3" s="27" t="s">
        <v>33</v>
      </c>
      <c r="B3" s="27" t="s">
        <v>61</v>
      </c>
      <c r="C3" s="27" t="s">
        <v>35</v>
      </c>
      <c r="D3" s="27" t="s">
        <v>119</v>
      </c>
    </row>
    <row r="4">
      <c r="A4" s="27" t="s">
        <v>38</v>
      </c>
      <c r="B4" s="27" t="s">
        <v>67</v>
      </c>
      <c r="C4" s="27" t="s">
        <v>82</v>
      </c>
      <c r="D4" s="27" t="s">
        <v>120</v>
      </c>
    </row>
    <row r="5">
      <c r="A5" s="27" t="s">
        <v>98</v>
      </c>
      <c r="B5" s="27" t="s">
        <v>17</v>
      </c>
      <c r="C5" s="27" t="s">
        <v>87</v>
      </c>
      <c r="D5" s="27" t="s">
        <v>121</v>
      </c>
    </row>
    <row r="6">
      <c r="A6" s="27" t="s">
        <v>99</v>
      </c>
      <c r="B6" s="27" t="s">
        <v>18</v>
      </c>
      <c r="C6" s="27" t="s">
        <v>66</v>
      </c>
    </row>
    <row r="7">
      <c r="A7" s="27" t="s">
        <v>100</v>
      </c>
      <c r="C7" s="27" t="s">
        <v>56</v>
      </c>
    </row>
    <row r="8">
      <c r="A8" s="27" t="s">
        <v>101</v>
      </c>
      <c r="C8" s="27" t="s">
        <v>62</v>
      </c>
    </row>
    <row r="9">
      <c r="A9" s="27" t="s">
        <v>122</v>
      </c>
      <c r="C9" s="27" t="s">
        <v>79</v>
      </c>
    </row>
    <row r="10">
      <c r="C10" s="27" t="s">
        <v>63</v>
      </c>
    </row>
    <row r="11">
      <c r="C11" s="27" t="s">
        <v>88</v>
      </c>
    </row>
    <row r="12">
      <c r="C12" s="27" t="s">
        <v>68</v>
      </c>
    </row>
    <row r="13">
      <c r="C13" s="27" t="s">
        <v>29</v>
      </c>
    </row>
    <row r="14">
      <c r="C14" s="27" t="s">
        <v>78</v>
      </c>
    </row>
    <row r="15">
      <c r="C15" s="27" t="s">
        <v>81</v>
      </c>
    </row>
    <row r="16">
      <c r="C16" s="27" t="s">
        <v>80</v>
      </c>
    </row>
    <row r="17">
      <c r="C17" s="27" t="s">
        <v>52</v>
      </c>
    </row>
    <row r="18">
      <c r="C18" s="27" t="s">
        <v>86</v>
      </c>
    </row>
    <row r="19">
      <c r="C19" s="27" t="s">
        <v>83</v>
      </c>
    </row>
    <row r="20">
      <c r="C20" s="27" t="s">
        <v>76</v>
      </c>
    </row>
    <row r="21" ht="15.75" customHeight="1">
      <c r="C21" s="27" t="s">
        <v>77</v>
      </c>
    </row>
    <row r="22" ht="15.75" customHeight="1">
      <c r="C22" s="27" t="s">
        <v>55</v>
      </c>
    </row>
    <row r="23" ht="15.75" customHeight="1">
      <c r="C23" s="27" t="s">
        <v>65</v>
      </c>
    </row>
    <row r="24" ht="15.75" customHeight="1">
      <c r="C24" s="27" t="s">
        <v>39</v>
      </c>
    </row>
    <row r="25" ht="15.75" customHeight="1">
      <c r="C25" s="27" t="s">
        <v>53</v>
      </c>
    </row>
    <row r="26" ht="15.75" customHeight="1">
      <c r="C26" s="27" t="s">
        <v>58</v>
      </c>
    </row>
    <row r="27" ht="15.75" customHeight="1">
      <c r="C27" s="27" t="s">
        <v>60</v>
      </c>
    </row>
    <row r="28" ht="15.75" customHeight="1">
      <c r="C28" s="27" t="s">
        <v>54</v>
      </c>
    </row>
    <row r="29" ht="15.75" customHeight="1">
      <c r="C29" s="27" t="s">
        <v>85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2026-07-07T11:34:14Z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